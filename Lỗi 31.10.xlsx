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161e650de71bf1ea/Máy tính/Lỗi tổng hợp năm học 2025 - 2026/Lỗi tháng 10 - 2025/"/>
    </mc:Choice>
  </mc:AlternateContent>
  <xr:revisionPtr revIDLastSave="1" documentId="13_ncr:1_{D1B466E6-8B9C-4C2B-81ED-1A1D2D78FAF1}" xr6:coauthVersionLast="47" xr6:coauthVersionMax="47" xr10:uidLastSave="{9EF3B409-FDC3-4FD1-B0AA-08231335DE5E}"/>
  <bookViews>
    <workbookView xWindow="-108" yWindow="-108" windowWidth="23256" windowHeight="12456" xr2:uid="{00000000-000D-0000-FFFF-FFFF00000000}"/>
  </bookViews>
  <sheets>
    <sheet name="Tổng Hợp" sheetId="1" r:id="rId1"/>
    <sheet name="Chi Tiết" sheetId="2" r:id="rId2"/>
    <sheet name="Sheet2" sheetId="8" r:id="rId3"/>
    <sheet name="Sheet3" sheetId="12" r:id="rId4"/>
    <sheet name="Sheet1" sheetId="11" r:id="rId5"/>
  </sheets>
  <definedNames>
    <definedName name="_xlnm._FilterDatabase" localSheetId="4" hidden="1">Sheet1!$C$1:$C$99</definedName>
    <definedName name="_xlnm._FilterDatabase" localSheetId="2" hidden="1">Sheet2!$C$1:$C$78</definedName>
    <definedName name="_xlnm._FilterDatabase" localSheetId="3" hidden="1">Sheet3!$C$1:$C$14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C21" i="1"/>
  <c r="C22" i="1"/>
  <c r="C23" i="1"/>
  <c r="C24" i="1"/>
  <c r="C25" i="1"/>
  <c r="C26" i="1"/>
  <c r="C27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28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5" i="1"/>
  <c r="N4" i="1"/>
  <c r="O4" i="1"/>
  <c r="P4" i="1"/>
  <c r="Q4" i="1"/>
  <c r="R4" i="1"/>
  <c r="S4" i="1"/>
  <c r="O3" i="1"/>
  <c r="P3" i="1"/>
  <c r="Q3" i="1"/>
  <c r="R3" i="1"/>
  <c r="S3" i="1"/>
  <c r="N3" i="1"/>
  <c r="Q5" i="1" l="1"/>
  <c r="R5" i="1"/>
  <c r="S5" i="1"/>
  <c r="M4" i="1"/>
  <c r="N5" i="1"/>
  <c r="O5" i="1"/>
  <c r="P5" i="1"/>
  <c r="M3" i="1"/>
  <c r="E3" i="1"/>
  <c r="F3" i="1"/>
  <c r="G3" i="1"/>
  <c r="H3" i="1"/>
  <c r="I3" i="1"/>
  <c r="D3" i="1"/>
  <c r="M5" i="1" l="1"/>
  <c r="O6" i="1" s="1"/>
  <c r="C3" i="1"/>
  <c r="D4" i="1" s="1"/>
  <c r="P6" i="1" l="1"/>
  <c r="Q6" i="1"/>
  <c r="R6" i="1"/>
  <c r="N6" i="1"/>
  <c r="S6" i="1"/>
  <c r="H4" i="1"/>
  <c r="I4" i="1"/>
  <c r="F4" i="1"/>
  <c r="G4" i="1"/>
  <c r="E4" i="1"/>
</calcChain>
</file>

<file path=xl/sharedStrings.xml><?xml version="1.0" encoding="utf-8"?>
<sst xmlns="http://schemas.openxmlformats.org/spreadsheetml/2006/main" count="1731" uniqueCount="227">
  <si>
    <t>Học sinh vi phạm nội quy</t>
  </si>
  <si>
    <t>STT</t>
  </si>
  <si>
    <t>Tên học sinh</t>
  </si>
  <si>
    <t>Lớp</t>
  </si>
  <si>
    <t>Lỗi vi phạm</t>
  </si>
  <si>
    <t>Thời gian 
vi phạm</t>
  </si>
  <si>
    <t>Ghi chú</t>
  </si>
  <si>
    <t>Khối</t>
  </si>
  <si>
    <t>Số lỗi học sinh vi phạm nội quy</t>
  </si>
  <si>
    <t>Tổng</t>
  </si>
  <si>
    <t>Đi học muộn</t>
  </si>
  <si>
    <t>Sai đồng phục</t>
  </si>
  <si>
    <t>Vi phạm nề nếp bán trú</t>
  </si>
  <si>
    <t>Vi phạm nề nếp khác</t>
  </si>
  <si>
    <t>Tỉ lệ</t>
  </si>
  <si>
    <t>THCS</t>
  </si>
  <si>
    <t>6A1</t>
  </si>
  <si>
    <t>6A2</t>
  </si>
  <si>
    <t>6A3</t>
  </si>
  <si>
    <t>7A1</t>
  </si>
  <si>
    <t>7A3</t>
  </si>
  <si>
    <t>7A4</t>
  </si>
  <si>
    <t>7A5</t>
  </si>
  <si>
    <t>8A1</t>
  </si>
  <si>
    <t>8A2</t>
  </si>
  <si>
    <t>8A3</t>
  </si>
  <si>
    <t>8A4</t>
  </si>
  <si>
    <t>8A5</t>
  </si>
  <si>
    <t>8A6</t>
  </si>
  <si>
    <t>8A7</t>
  </si>
  <si>
    <t>9A1</t>
  </si>
  <si>
    <t>9A2</t>
  </si>
  <si>
    <t>9A3</t>
  </si>
  <si>
    <t>THPT</t>
  </si>
  <si>
    <t>10A1</t>
  </si>
  <si>
    <t>10A2</t>
  </si>
  <si>
    <t>10A3</t>
  </si>
  <si>
    <t>10A4</t>
  </si>
  <si>
    <t>10A5</t>
  </si>
  <si>
    <t>10A6</t>
  </si>
  <si>
    <t>10A7</t>
  </si>
  <si>
    <t>11A1</t>
  </si>
  <si>
    <t>11A2</t>
  </si>
  <si>
    <t>11A3</t>
  </si>
  <si>
    <t>11A4</t>
  </si>
  <si>
    <t>11A5</t>
  </si>
  <si>
    <t>11A6</t>
  </si>
  <si>
    <t>11A7</t>
  </si>
  <si>
    <t>11A8</t>
  </si>
  <si>
    <t>11A9</t>
  </si>
  <si>
    <t>12A1</t>
  </si>
  <si>
    <t>12A2</t>
  </si>
  <si>
    <t>12A3</t>
  </si>
  <si>
    <t>12A4</t>
  </si>
  <si>
    <t>12A5</t>
  </si>
  <si>
    <t>12A6</t>
  </si>
  <si>
    <t>12A7</t>
  </si>
  <si>
    <t>12A8</t>
  </si>
  <si>
    <t>12A9</t>
  </si>
  <si>
    <t>12A10</t>
  </si>
  <si>
    <t>7A2</t>
  </si>
  <si>
    <t>Đánh nhau</t>
  </si>
  <si>
    <t>Sử dụng thiết bị điện tử</t>
  </si>
  <si>
    <t xml:space="preserve">Tổng </t>
  </si>
  <si>
    <t>Tỷ lệ học sinh mắc lỗi</t>
  </si>
  <si>
    <t>8A8</t>
  </si>
  <si>
    <t>9A4</t>
  </si>
  <si>
    <t>9A5</t>
  </si>
  <si>
    <t>9A6</t>
  </si>
  <si>
    <t>9A7</t>
  </si>
  <si>
    <t>Phân loại</t>
  </si>
  <si>
    <t>Ngày 31 tháng 10 năm 2025</t>
  </si>
  <si>
    <t>Lại Viết Hoàng Anh</t>
  </si>
  <si>
    <t>Tiết 2</t>
  </si>
  <si>
    <t>Sai quần</t>
  </si>
  <si>
    <t>Nề nếp</t>
  </si>
  <si>
    <t>Nguyễn Hữu Đạt</t>
  </si>
  <si>
    <t>Tiết 3</t>
  </si>
  <si>
    <t>Thiếu dây đeo thẻ</t>
  </si>
  <si>
    <t>Vũ Nguyễn Duy Hưng</t>
  </si>
  <si>
    <t>Trốn tiết</t>
  </si>
  <si>
    <t>Cao Thái Tuấn</t>
  </si>
  <si>
    <t>Nguyễn Duy Anh</t>
  </si>
  <si>
    <t>Không đeo thẻ</t>
  </si>
  <si>
    <t>Lê Tiến Minh</t>
  </si>
  <si>
    <t>Sử dụng thiết bị điện tử sai mục đích</t>
  </si>
  <si>
    <t>Tiết 5</t>
  </si>
  <si>
    <t>Chơi game trên máy tính tiết thầy Trường</t>
  </si>
  <si>
    <t>Nguyễn Đăng Dương</t>
  </si>
  <si>
    <t>Vào phòng ngủ muộn</t>
  </si>
  <si>
    <t>Giờ bán trú</t>
  </si>
  <si>
    <t>Muộn 8p</t>
  </si>
  <si>
    <t>Bán trú</t>
  </si>
  <si>
    <t>Lê Nhật Quang</t>
  </si>
  <si>
    <t>Hồ Anh Khoa</t>
  </si>
  <si>
    <t>Không tắt điện/điều hoà sau khi ra khỏi lớp</t>
  </si>
  <si>
    <t>Cuối tiết 8</t>
  </si>
  <si>
    <t>không tắt điều hòa</t>
  </si>
  <si>
    <t>Nguyễn Tiến Thành</t>
  </si>
  <si>
    <t>Ra chơi tiết 2</t>
  </si>
  <si>
    <t>Đỗ Quang Minh</t>
  </si>
  <si>
    <t>Lưu Thành Đạt</t>
  </si>
  <si>
    <t>Tiết 4</t>
  </si>
  <si>
    <t>Vũ Thành Công</t>
  </si>
  <si>
    <t>Tăng Xuân Phong</t>
  </si>
  <si>
    <t>Ra chơi tiết 4</t>
  </si>
  <si>
    <t>Nguyễn Minh Quang</t>
  </si>
  <si>
    <t>Nguyễn Đức Khánh</t>
  </si>
  <si>
    <t>Vũ Kim Ngân</t>
  </si>
  <si>
    <t>Mất trật tự giờ bán trú</t>
  </si>
  <si>
    <t>Phùng Hà Anh</t>
  </si>
  <si>
    <t>Vũ Quang Huy</t>
  </si>
  <si>
    <t>Trần Hoàng Anh Vũ</t>
  </si>
  <si>
    <t>Phạm Ngọc Phúc</t>
  </si>
  <si>
    <t>Hát trong giờ ngủ</t>
  </si>
  <si>
    <t>vào phòng ngủ muộn 7 phút</t>
  </si>
  <si>
    <t>Vũ Đức Tuấn</t>
  </si>
  <si>
    <t>Lê Anh Minh</t>
  </si>
  <si>
    <t>Phạm Quốc Cường</t>
  </si>
  <si>
    <t>Trần Đỗ Mạnh Quân</t>
  </si>
  <si>
    <t>Nguyễn Hoàng Bách</t>
  </si>
  <si>
    <t>Ra chơi tiết 7</t>
  </si>
  <si>
    <t>Trần Hoàng Nam Anh</t>
  </si>
  <si>
    <t>Thường xuyên vào phòng ngủ muộn, tự ý đổi phòng ngủ</t>
  </si>
  <si>
    <t>Nguyễn Đăng Hưng Thịnh</t>
  </si>
  <si>
    <t>Nói chuyện</t>
  </si>
  <si>
    <t>Ra chơi tiết 6</t>
  </si>
  <si>
    <t>Vũ Đức Hiếu</t>
  </si>
  <si>
    <t>Nguyễn Ngọc Khánh</t>
  </si>
  <si>
    <t>Nguyễn Thiện Toàn</t>
  </si>
  <si>
    <t>Phạm Thành Vương</t>
  </si>
  <si>
    <t>Phùng Tuấn Hưng</t>
  </si>
  <si>
    <t>Nguyễn Phúc Thịnh</t>
  </si>
  <si>
    <t>Nguyễn Đỗ Khôi Nguyên</t>
  </si>
  <si>
    <t>Đinh Minh Phúc</t>
  </si>
  <si>
    <t>Phạm Quang Thanh</t>
  </si>
  <si>
    <t>Trương Gia Hiếu</t>
  </si>
  <si>
    <t>Nguyễn Minh Hiền</t>
  </si>
  <si>
    <t>Nguyễn Thế Cường</t>
  </si>
  <si>
    <t>Phạm Nguyễn Hà Phương</t>
  </si>
  <si>
    <t>Nguyễn Minh Khuê</t>
  </si>
  <si>
    <t>Nguyễn Danh Phú</t>
  </si>
  <si>
    <t>Nguyễn Đức Hiếu</t>
  </si>
  <si>
    <t>Bùi Thanh Sơn</t>
  </si>
  <si>
    <t>Nguyễn Lê Minh Thái</t>
  </si>
  <si>
    <t>Phạm Hoàng Duy</t>
  </si>
  <si>
    <t>Tống Duy Trọng Đạt</t>
  </si>
  <si>
    <t>Hoàng Gia Kiệt</t>
  </si>
  <si>
    <t>Lê Bảo Khánh</t>
  </si>
  <si>
    <t>Nguyễn Quang Khánh</t>
  </si>
  <si>
    <t>Trương Nhất Tùng</t>
  </si>
  <si>
    <t>Trần Phúc Hưng</t>
  </si>
  <si>
    <t>Nguyễn Đức Thuận</t>
  </si>
  <si>
    <t>Vũ Viết Tấn</t>
  </si>
  <si>
    <t>Phạm Linh Đan</t>
  </si>
  <si>
    <t>Lê Bảo Trâm</t>
  </si>
  <si>
    <t>Phạm Diệu Anh</t>
  </si>
  <si>
    <t>Nguyễn Quang Minh</t>
  </si>
  <si>
    <t>Lê Trung Hiếu</t>
  </si>
  <si>
    <t>Lê Phúc Khang</t>
  </si>
  <si>
    <t>Lê Văn Hợp</t>
  </si>
  <si>
    <t>Bùi Khôi Nguyên</t>
  </si>
  <si>
    <t>Phạm Duy Toàn</t>
  </si>
  <si>
    <t>Hoàng Hà Vy</t>
  </si>
  <si>
    <t>Phạm Bình Minh</t>
  </si>
  <si>
    <t>4p</t>
  </si>
  <si>
    <t>Phép GVCN</t>
  </si>
  <si>
    <t>Vũ Ngọc Bảo Châu</t>
  </si>
  <si>
    <t>6p</t>
  </si>
  <si>
    <t>Lỗi FSP</t>
  </si>
  <si>
    <t>Phạm Kim Bảo Nam</t>
  </si>
  <si>
    <t>25p</t>
  </si>
  <si>
    <t>Nguyễn Việt Thắng</t>
  </si>
  <si>
    <t>15p</t>
  </si>
  <si>
    <t>Phép FSP</t>
  </si>
  <si>
    <t>2p</t>
  </si>
  <si>
    <t>3p</t>
  </si>
  <si>
    <t>Nguyễn Phương Minh</t>
  </si>
  <si>
    <t>Lê Thuỳ Linh</t>
  </si>
  <si>
    <t>5p</t>
  </si>
  <si>
    <t>Vũ Thành Đạt</t>
  </si>
  <si>
    <t>Đặng Bảo Hân</t>
  </si>
  <si>
    <t>Trịnh Nguyên Phong</t>
  </si>
  <si>
    <t>8p</t>
  </si>
  <si>
    <t>Vũ Hoàng Đức Trung</t>
  </si>
  <si>
    <t>10p</t>
  </si>
  <si>
    <t>Phạm Tiến Đạt</t>
  </si>
  <si>
    <t>1 tiết</t>
  </si>
  <si>
    <t>Nguyễn Ngọc Diệp</t>
  </si>
  <si>
    <t>Nguyễn Hoàng Gia Vy</t>
  </si>
  <si>
    <t>Phạm Hùng Anh</t>
  </si>
  <si>
    <t>Nguyễn Nhật Huy</t>
  </si>
  <si>
    <t>Nguyễn Thành Vinh</t>
  </si>
  <si>
    <t>55p</t>
  </si>
  <si>
    <t>Phạm Ngọc Gia Huy</t>
  </si>
  <si>
    <t>2 tiết</t>
  </si>
  <si>
    <t>Nguyễn Thị Yến Linh</t>
  </si>
  <si>
    <t>Nguyễn Phúc Gia Bảo</t>
  </si>
  <si>
    <t>Tàng trữ, sử dụng chất cấm</t>
  </si>
  <si>
    <t>Tàng trữ và sử dụng thuốc lá</t>
  </si>
  <si>
    <t>Không đeo thẻ ( nhắc nhiều lần)</t>
  </si>
  <si>
    <t>FHP30483</t>
  </si>
  <si>
    <t>Phạm Hồng Quân</t>
  </si>
  <si>
    <t>FHP20821</t>
  </si>
  <si>
    <t>Trần Vũ Linh Đan</t>
  </si>
  <si>
    <t>FHP31218</t>
  </si>
  <si>
    <t>Nguyễn Nhật Minh</t>
  </si>
  <si>
    <t>FHP20578</t>
  </si>
  <si>
    <t>Nguyễn Hải Trí Dũng</t>
  </si>
  <si>
    <t>FHP20688</t>
  </si>
  <si>
    <t>Vũ Anh Khôi</t>
  </si>
  <si>
    <t>FHP20723</t>
  </si>
  <si>
    <t>Hoàng Thuỳ Dương</t>
  </si>
  <si>
    <t>FHP20583</t>
  </si>
  <si>
    <t>Hà Anh Tuấn</t>
  </si>
  <si>
    <t>FHP31090</t>
  </si>
  <si>
    <t>LÊ AN ĐÔNG</t>
  </si>
  <si>
    <t>FHP20888</t>
  </si>
  <si>
    <t>Hoàng Minh Đức</t>
  </si>
  <si>
    <t>FHP30855</t>
  </si>
  <si>
    <t>VŨ XUÂN MAI</t>
  </si>
  <si>
    <t>FHP20808</t>
  </si>
  <si>
    <t>Cao Trần Hưng</t>
  </si>
  <si>
    <t>FHP20897</t>
  </si>
  <si>
    <t>FHP20276</t>
  </si>
  <si>
    <t>Nguyễn Tuấn Minh</t>
  </si>
  <si>
    <t>Thường xuyên vào phòng ngủ muộn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</si>
</sst>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0"/>
      <name val="Times New Roman"/>
      <family val="1"/>
    </font>
    <font>
      <b/>
      <sz val="12"/>
      <color rgb="FFFF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2" fillId="3" borderId="1" xfId="0" applyFont="1" applyFill="1" applyBorder="1"/>
    <xf numFmtId="0" fontId="2" fillId="2" borderId="1" xfId="0" applyFont="1" applyFill="1" applyBorder="1" applyAlignment="1">
      <alignment wrapText="1"/>
    </xf>
    <xf numFmtId="0" fontId="6" fillId="4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164" fontId="7" fillId="5" borderId="4" xfId="0" applyNumberFormat="1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164" fontId="5" fillId="6" borderId="1" xfId="1" applyNumberFormat="1" applyFont="1" applyFill="1" applyBorder="1" applyAlignment="1">
      <alignment vertical="center" wrapText="1"/>
    </xf>
    <xf numFmtId="164" fontId="7" fillId="6" borderId="4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64" fontId="5" fillId="7" borderId="1" xfId="1" applyNumberFormat="1" applyFont="1" applyFill="1" applyBorder="1" applyAlignment="1">
      <alignment vertical="center" wrapText="1"/>
    </xf>
    <xf numFmtId="164" fontId="7" fillId="7" borderId="4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8" borderId="1" xfId="0" applyFont="1" applyFill="1" applyBorder="1"/>
    <xf numFmtId="0" fontId="6" fillId="4" borderId="1" xfId="0" applyFont="1" applyFill="1" applyBorder="1" applyAlignment="1">
      <alignment vertical="center" wrapText="1"/>
    </xf>
    <xf numFmtId="9" fontId="7" fillId="5" borderId="4" xfId="2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164" fontId="5" fillId="6" borderId="2" xfId="1" applyNumberFormat="1" applyFont="1" applyFill="1" applyBorder="1" applyAlignment="1">
      <alignment vertical="center" wrapText="1"/>
    </xf>
    <xf numFmtId="164" fontId="5" fillId="7" borderId="2" xfId="1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64" fontId="6" fillId="4" borderId="1" xfId="0" applyNumberFormat="1" applyFont="1" applyFill="1" applyBorder="1" applyAlignment="1">
      <alignment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0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164" fontId="0" fillId="9" borderId="1" xfId="0" applyNumberFormat="1" applyFill="1" applyBorder="1"/>
    <xf numFmtId="0" fontId="10" fillId="9" borderId="5" xfId="0" applyFont="1" applyFill="1" applyBorder="1" applyAlignment="1">
      <alignment horizontal="center" vertical="center"/>
    </xf>
    <xf numFmtId="0" fontId="0" fillId="9" borderId="1" xfId="0" applyFill="1" applyBorder="1"/>
    <xf numFmtId="0" fontId="0" fillId="0" borderId="0" xfId="0" applyAlignment="1">
      <alignment horizontal="center" vertical="center"/>
    </xf>
    <xf numFmtId="9" fontId="0" fillId="9" borderId="1" xfId="2" applyFont="1" applyFill="1" applyBorder="1"/>
    <xf numFmtId="0" fontId="5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wrapText="1"/>
    </xf>
    <xf numFmtId="0" fontId="2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/>
    <xf numFmtId="0" fontId="2" fillId="10" borderId="1" xfId="0" applyFont="1" applyFill="1" applyBorder="1" applyAlignment="1">
      <alignment horizontal="center" wrapText="1"/>
    </xf>
    <xf numFmtId="0" fontId="2" fillId="10" borderId="5" xfId="0" applyFont="1" applyFill="1" applyBorder="1" applyAlignment="1">
      <alignment horizontal="center" vertical="center"/>
    </xf>
    <xf numFmtId="0" fontId="2" fillId="10" borderId="5" xfId="0" applyFont="1" applyFill="1" applyBorder="1"/>
    <xf numFmtId="0" fontId="2" fillId="10" borderId="5" xfId="0" applyFont="1" applyFill="1" applyBorder="1" applyAlignment="1">
      <alignment horizontal="left"/>
    </xf>
    <xf numFmtId="0" fontId="5" fillId="10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wrapText="1"/>
    </xf>
    <xf numFmtId="0" fontId="5" fillId="1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0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workbookViewId="0">
      <pane ySplit="3" topLeftCell="A36" activePane="bottomLeft" state="frozen"/>
      <selection pane="bottomLeft" activeCell="C5" sqref="C5:I53"/>
    </sheetView>
  </sheetViews>
  <sheetFormatPr defaultRowHeight="14.4" x14ac:dyDescent="0.3"/>
  <cols>
    <col min="2" max="2" width="10.109375" customWidth="1"/>
    <col min="3" max="3" width="12.5546875" customWidth="1"/>
    <col min="4" max="4" width="12.21875" customWidth="1"/>
    <col min="5" max="5" width="13.44140625" customWidth="1"/>
    <col min="6" max="6" width="14" customWidth="1"/>
    <col min="7" max="9" width="14.6640625" customWidth="1"/>
    <col min="15" max="15" width="11" customWidth="1"/>
    <col min="16" max="16" width="12.44140625" customWidth="1"/>
    <col min="18" max="18" width="13.77734375" customWidth="1"/>
    <col min="19" max="19" width="15.33203125" customWidth="1"/>
  </cols>
  <sheetData>
    <row r="1" spans="1:19" ht="15.6" customHeight="1" x14ac:dyDescent="0.3">
      <c r="A1" s="65" t="s">
        <v>7</v>
      </c>
      <c r="B1" s="65" t="s">
        <v>3</v>
      </c>
      <c r="C1" s="67" t="s">
        <v>8</v>
      </c>
      <c r="D1" s="68"/>
      <c r="E1" s="68"/>
      <c r="F1" s="68"/>
      <c r="G1" s="69"/>
      <c r="H1" s="25"/>
      <c r="I1" s="25"/>
      <c r="K1" s="74"/>
      <c r="L1" s="75" t="s">
        <v>8</v>
      </c>
      <c r="M1" s="76"/>
      <c r="N1" s="76"/>
      <c r="O1" s="76"/>
      <c r="P1" s="76"/>
      <c r="Q1" s="76"/>
      <c r="R1" s="76"/>
      <c r="S1" s="76"/>
    </row>
    <row r="2" spans="1:19" ht="46.8" customHeight="1" x14ac:dyDescent="0.3">
      <c r="A2" s="66"/>
      <c r="B2" s="66"/>
      <c r="C2" s="7" t="s">
        <v>9</v>
      </c>
      <c r="D2" s="7" t="s">
        <v>10</v>
      </c>
      <c r="E2" s="7" t="s">
        <v>11</v>
      </c>
      <c r="F2" s="7" t="s">
        <v>12</v>
      </c>
      <c r="G2" s="24" t="s">
        <v>61</v>
      </c>
      <c r="H2" s="7" t="s">
        <v>62</v>
      </c>
      <c r="I2" s="7" t="s">
        <v>13</v>
      </c>
      <c r="K2" s="74"/>
      <c r="L2" s="77" t="s">
        <v>9</v>
      </c>
      <c r="M2" s="78"/>
      <c r="N2" s="32" t="s">
        <v>10</v>
      </c>
      <c r="O2" s="32" t="s">
        <v>11</v>
      </c>
      <c r="P2" s="32" t="s">
        <v>12</v>
      </c>
      <c r="Q2" s="31" t="s">
        <v>61</v>
      </c>
      <c r="R2" s="30" t="s">
        <v>62</v>
      </c>
      <c r="S2" s="30" t="s">
        <v>13</v>
      </c>
    </row>
    <row r="3" spans="1:19" ht="15.6" x14ac:dyDescent="0.3">
      <c r="A3" s="21"/>
      <c r="B3" s="21"/>
      <c r="C3" s="21">
        <f>SUM(D3:I3)</f>
        <v>94</v>
      </c>
      <c r="D3" s="29">
        <f t="shared" ref="D3:I3" si="0">SUM(D5:D53)</f>
        <v>21</v>
      </c>
      <c r="E3" s="29">
        <f t="shared" si="0"/>
        <v>52</v>
      </c>
      <c r="F3" s="29">
        <f t="shared" si="0"/>
        <v>16</v>
      </c>
      <c r="G3" s="29">
        <f t="shared" si="0"/>
        <v>0</v>
      </c>
      <c r="H3" s="29">
        <f t="shared" si="0"/>
        <v>0</v>
      </c>
      <c r="I3" s="29">
        <f t="shared" si="0"/>
        <v>5</v>
      </c>
      <c r="K3" s="74"/>
      <c r="L3" s="33" t="s">
        <v>15</v>
      </c>
      <c r="M3" s="34">
        <f t="shared" ref="M3:S3" si="1">SUM(C5:C27)</f>
        <v>23</v>
      </c>
      <c r="N3" s="34">
        <f t="shared" si="1"/>
        <v>4</v>
      </c>
      <c r="O3" s="34">
        <f t="shared" si="1"/>
        <v>10</v>
      </c>
      <c r="P3" s="34">
        <f t="shared" si="1"/>
        <v>8</v>
      </c>
      <c r="Q3" s="34">
        <f t="shared" si="1"/>
        <v>0</v>
      </c>
      <c r="R3" s="34">
        <f t="shared" si="1"/>
        <v>0</v>
      </c>
      <c r="S3" s="34">
        <f t="shared" si="1"/>
        <v>1</v>
      </c>
    </row>
    <row r="4" spans="1:19" ht="15.6" x14ac:dyDescent="0.3">
      <c r="A4" s="8" t="s">
        <v>14</v>
      </c>
      <c r="B4" s="9"/>
      <c r="C4" s="10"/>
      <c r="D4" s="22">
        <f>D3/$C$3*100%</f>
        <v>0.22340425531914893</v>
      </c>
      <c r="E4" s="22">
        <f>E3/$C$3*100%</f>
        <v>0.55319148936170215</v>
      </c>
      <c r="F4" s="22">
        <f>F3/$C$3*100%</f>
        <v>0.1702127659574468</v>
      </c>
      <c r="G4" s="22">
        <f>G3/$C$3*100%</f>
        <v>0</v>
      </c>
      <c r="H4" s="22">
        <f t="shared" ref="H4:I4" si="2">H3/$C$3*100%</f>
        <v>0</v>
      </c>
      <c r="I4" s="22">
        <f t="shared" si="2"/>
        <v>5.3191489361702128E-2</v>
      </c>
      <c r="K4" s="74"/>
      <c r="L4" s="35" t="s">
        <v>33</v>
      </c>
      <c r="M4" s="34">
        <f t="shared" ref="M4:S4" si="3">SUM(C28:C53)</f>
        <v>71</v>
      </c>
      <c r="N4" s="34">
        <f t="shared" si="3"/>
        <v>17</v>
      </c>
      <c r="O4" s="34">
        <f t="shared" si="3"/>
        <v>42</v>
      </c>
      <c r="P4" s="34">
        <f t="shared" si="3"/>
        <v>8</v>
      </c>
      <c r="Q4" s="34">
        <f t="shared" si="3"/>
        <v>0</v>
      </c>
      <c r="R4" s="34">
        <f t="shared" si="3"/>
        <v>0</v>
      </c>
      <c r="S4" s="34">
        <f t="shared" si="3"/>
        <v>4</v>
      </c>
    </row>
    <row r="5" spans="1:19" ht="15.6" x14ac:dyDescent="0.3">
      <c r="A5" s="70" t="s">
        <v>15</v>
      </c>
      <c r="B5" s="11" t="s">
        <v>16</v>
      </c>
      <c r="C5" s="13">
        <f>SUM(D5:I5)</f>
        <v>0</v>
      </c>
      <c r="D5" s="12"/>
      <c r="E5" s="12"/>
      <c r="F5" s="12"/>
      <c r="G5" s="12"/>
      <c r="H5" s="26"/>
      <c r="I5" s="12"/>
      <c r="K5" s="73" t="s">
        <v>63</v>
      </c>
      <c r="L5" s="73"/>
      <c r="M5" s="34">
        <f>SUM(M3:M4)</f>
        <v>94</v>
      </c>
      <c r="N5" s="34">
        <f t="shared" ref="N5:S5" si="4">SUM(N3:N4)</f>
        <v>21</v>
      </c>
      <c r="O5" s="34">
        <f t="shared" si="4"/>
        <v>52</v>
      </c>
      <c r="P5" s="34">
        <f t="shared" si="4"/>
        <v>16</v>
      </c>
      <c r="Q5" s="34">
        <f t="shared" si="4"/>
        <v>0</v>
      </c>
      <c r="R5" s="34">
        <f t="shared" si="4"/>
        <v>0</v>
      </c>
      <c r="S5" s="34">
        <f t="shared" si="4"/>
        <v>5</v>
      </c>
    </row>
    <row r="6" spans="1:19" ht="15.6" x14ac:dyDescent="0.3">
      <c r="A6" s="71"/>
      <c r="B6" s="11" t="s">
        <v>17</v>
      </c>
      <c r="C6" s="13">
        <f t="shared" ref="C6:C27" si="5">SUM(D6:I6)</f>
        <v>0</v>
      </c>
      <c r="D6" s="12"/>
      <c r="E6" s="12"/>
      <c r="F6" s="12"/>
      <c r="G6" s="12"/>
      <c r="H6" s="26"/>
      <c r="I6" s="12"/>
      <c r="K6" s="73" t="s">
        <v>64</v>
      </c>
      <c r="L6" s="73"/>
      <c r="M6" s="36"/>
      <c r="N6" s="38">
        <f>(N5/$M$5)*100%</f>
        <v>0.22340425531914893</v>
      </c>
      <c r="O6" s="38">
        <f t="shared" ref="O6:S6" si="6">(O5/$M$5)*100%</f>
        <v>0.55319148936170215</v>
      </c>
      <c r="P6" s="38">
        <f t="shared" si="6"/>
        <v>0.1702127659574468</v>
      </c>
      <c r="Q6" s="38">
        <f t="shared" si="6"/>
        <v>0</v>
      </c>
      <c r="R6" s="38">
        <f t="shared" si="6"/>
        <v>0</v>
      </c>
      <c r="S6" s="38">
        <f t="shared" si="6"/>
        <v>5.3191489361702128E-2</v>
      </c>
    </row>
    <row r="7" spans="1:19" ht="15.6" x14ac:dyDescent="0.3">
      <c r="A7" s="71"/>
      <c r="B7" s="11" t="s">
        <v>18</v>
      </c>
      <c r="C7" s="13">
        <f t="shared" si="5"/>
        <v>1</v>
      </c>
      <c r="D7" s="12">
        <v>1</v>
      </c>
      <c r="E7" s="12"/>
      <c r="F7" s="12"/>
      <c r="G7" s="12"/>
      <c r="H7" s="26"/>
      <c r="I7" s="12"/>
    </row>
    <row r="8" spans="1:19" ht="15.6" x14ac:dyDescent="0.3">
      <c r="A8" s="71"/>
      <c r="B8" s="11" t="s">
        <v>19</v>
      </c>
      <c r="C8" s="13">
        <f t="shared" si="5"/>
        <v>0</v>
      </c>
      <c r="D8" s="12"/>
      <c r="E8" s="12"/>
      <c r="F8" s="12"/>
      <c r="G8" s="12"/>
      <c r="H8" s="26"/>
      <c r="I8" s="12"/>
    </row>
    <row r="9" spans="1:19" ht="15.6" x14ac:dyDescent="0.3">
      <c r="A9" s="71"/>
      <c r="B9" s="11" t="s">
        <v>60</v>
      </c>
      <c r="C9" s="13">
        <f t="shared" si="5"/>
        <v>0</v>
      </c>
      <c r="D9" s="12"/>
      <c r="E9" s="12"/>
      <c r="F9" s="12"/>
      <c r="G9" s="12"/>
      <c r="H9" s="26"/>
      <c r="I9" s="12"/>
    </row>
    <row r="10" spans="1:19" ht="15.6" x14ac:dyDescent="0.3">
      <c r="A10" s="71"/>
      <c r="B10" s="11" t="s">
        <v>20</v>
      </c>
      <c r="C10" s="13">
        <f t="shared" si="5"/>
        <v>0</v>
      </c>
      <c r="D10" s="12"/>
      <c r="E10" s="12"/>
      <c r="F10" s="12"/>
      <c r="G10" s="12"/>
      <c r="H10" s="26"/>
      <c r="I10" s="12"/>
    </row>
    <row r="11" spans="1:19" ht="15.6" x14ac:dyDescent="0.3">
      <c r="A11" s="71"/>
      <c r="B11" s="11" t="s">
        <v>21</v>
      </c>
      <c r="C11" s="13">
        <f t="shared" si="5"/>
        <v>0</v>
      </c>
      <c r="D11" s="12"/>
      <c r="E11" s="12"/>
      <c r="F11" s="12"/>
      <c r="G11" s="12"/>
      <c r="H11" s="26"/>
      <c r="I11" s="12"/>
    </row>
    <row r="12" spans="1:19" ht="15.6" x14ac:dyDescent="0.3">
      <c r="A12" s="71"/>
      <c r="B12" s="11" t="s">
        <v>22</v>
      </c>
      <c r="C12" s="13">
        <f t="shared" si="5"/>
        <v>2</v>
      </c>
      <c r="D12" s="12">
        <v>2</v>
      </c>
      <c r="E12" s="12"/>
      <c r="F12" s="12"/>
      <c r="G12" s="12"/>
      <c r="H12" s="26"/>
      <c r="I12" s="12"/>
    </row>
    <row r="13" spans="1:19" ht="15.6" x14ac:dyDescent="0.3">
      <c r="A13" s="71"/>
      <c r="B13" s="11" t="s">
        <v>23</v>
      </c>
      <c r="C13" s="13">
        <f t="shared" si="5"/>
        <v>1</v>
      </c>
      <c r="D13" s="12">
        <v>1</v>
      </c>
      <c r="E13" s="12"/>
      <c r="F13" s="12"/>
      <c r="G13" s="12"/>
      <c r="H13" s="26"/>
      <c r="I13" s="12"/>
    </row>
    <row r="14" spans="1:19" ht="15.6" x14ac:dyDescent="0.3">
      <c r="A14" s="71"/>
      <c r="B14" s="11" t="s">
        <v>24</v>
      </c>
      <c r="C14" s="13">
        <f t="shared" si="5"/>
        <v>0</v>
      </c>
      <c r="D14" s="12"/>
      <c r="E14" s="12"/>
      <c r="F14" s="12"/>
      <c r="G14" s="12"/>
      <c r="H14" s="26"/>
      <c r="I14" s="12"/>
    </row>
    <row r="15" spans="1:19" ht="15.6" x14ac:dyDescent="0.3">
      <c r="A15" s="71"/>
      <c r="B15" s="11" t="s">
        <v>25</v>
      </c>
      <c r="C15" s="13">
        <f t="shared" si="5"/>
        <v>1</v>
      </c>
      <c r="D15" s="12"/>
      <c r="E15" s="12">
        <v>1</v>
      </c>
      <c r="F15" s="12"/>
      <c r="G15" s="12"/>
      <c r="H15" s="26"/>
      <c r="I15" s="12"/>
    </row>
    <row r="16" spans="1:19" ht="15.6" x14ac:dyDescent="0.3">
      <c r="A16" s="71"/>
      <c r="B16" s="11" t="s">
        <v>26</v>
      </c>
      <c r="C16" s="13">
        <f t="shared" si="5"/>
        <v>0</v>
      </c>
      <c r="D16" s="12"/>
      <c r="E16" s="12"/>
      <c r="F16" s="12"/>
      <c r="G16" s="12"/>
      <c r="H16" s="26"/>
      <c r="I16" s="12"/>
    </row>
    <row r="17" spans="1:9" ht="15.6" x14ac:dyDescent="0.3">
      <c r="A17" s="71"/>
      <c r="B17" s="11" t="s">
        <v>27</v>
      </c>
      <c r="C17" s="13">
        <f t="shared" si="5"/>
        <v>0</v>
      </c>
      <c r="D17" s="12"/>
      <c r="E17" s="12"/>
      <c r="F17" s="12"/>
      <c r="G17" s="12"/>
      <c r="H17" s="26"/>
      <c r="I17" s="12"/>
    </row>
    <row r="18" spans="1:9" ht="15.6" x14ac:dyDescent="0.3">
      <c r="A18" s="71"/>
      <c r="B18" s="11" t="s">
        <v>28</v>
      </c>
      <c r="C18" s="13">
        <f t="shared" si="5"/>
        <v>2</v>
      </c>
      <c r="D18" s="12"/>
      <c r="E18" s="12"/>
      <c r="F18" s="12">
        <v>2</v>
      </c>
      <c r="G18" s="12"/>
      <c r="H18" s="26"/>
      <c r="I18" s="12"/>
    </row>
    <row r="19" spans="1:9" ht="15.6" x14ac:dyDescent="0.3">
      <c r="A19" s="71"/>
      <c r="B19" s="11" t="s">
        <v>29</v>
      </c>
      <c r="C19" s="13">
        <f t="shared" si="5"/>
        <v>1</v>
      </c>
      <c r="D19" s="12"/>
      <c r="E19" s="12">
        <v>1</v>
      </c>
      <c r="F19" s="12"/>
      <c r="G19" s="12"/>
      <c r="H19" s="26"/>
      <c r="I19" s="12"/>
    </row>
    <row r="20" spans="1:9" ht="15.6" x14ac:dyDescent="0.3">
      <c r="A20" s="71"/>
      <c r="B20" s="11" t="s">
        <v>65</v>
      </c>
      <c r="C20" s="13">
        <f t="shared" si="5"/>
        <v>1</v>
      </c>
      <c r="D20" s="12"/>
      <c r="E20" s="12"/>
      <c r="F20" s="12"/>
      <c r="G20" s="12"/>
      <c r="H20" s="26"/>
      <c r="I20" s="12">
        <v>1</v>
      </c>
    </row>
    <row r="21" spans="1:9" ht="15.6" x14ac:dyDescent="0.3">
      <c r="A21" s="71"/>
      <c r="B21" s="11" t="s">
        <v>30</v>
      </c>
      <c r="C21" s="13">
        <f t="shared" si="5"/>
        <v>1</v>
      </c>
      <c r="D21" s="12"/>
      <c r="E21" s="12">
        <v>1</v>
      </c>
      <c r="F21" s="12"/>
      <c r="G21" s="12"/>
      <c r="H21" s="26"/>
      <c r="I21" s="12"/>
    </row>
    <row r="22" spans="1:9" ht="15.6" x14ac:dyDescent="0.3">
      <c r="A22" s="71"/>
      <c r="B22" s="11" t="s">
        <v>31</v>
      </c>
      <c r="C22" s="13">
        <f t="shared" si="5"/>
        <v>3</v>
      </c>
      <c r="D22" s="12"/>
      <c r="E22" s="12">
        <v>3</v>
      </c>
      <c r="F22" s="12"/>
      <c r="G22" s="12"/>
      <c r="H22" s="26"/>
      <c r="I22" s="12"/>
    </row>
    <row r="23" spans="1:9" ht="15.6" x14ac:dyDescent="0.3">
      <c r="A23" s="71"/>
      <c r="B23" s="11" t="s">
        <v>32</v>
      </c>
      <c r="C23" s="13">
        <f t="shared" si="5"/>
        <v>9</v>
      </c>
      <c r="D23" s="12"/>
      <c r="E23" s="12">
        <v>4</v>
      </c>
      <c r="F23" s="12">
        <v>5</v>
      </c>
      <c r="G23" s="12"/>
      <c r="H23" s="26"/>
      <c r="I23" s="12"/>
    </row>
    <row r="24" spans="1:9" ht="15.6" x14ac:dyDescent="0.3">
      <c r="A24" s="71"/>
      <c r="B24" s="11" t="s">
        <v>66</v>
      </c>
      <c r="C24" s="13">
        <f t="shared" si="5"/>
        <v>1</v>
      </c>
      <c r="D24" s="12"/>
      <c r="E24" s="12"/>
      <c r="F24" s="12">
        <v>1</v>
      </c>
      <c r="G24" s="12"/>
      <c r="H24" s="26"/>
      <c r="I24" s="12"/>
    </row>
    <row r="25" spans="1:9" ht="15.6" x14ac:dyDescent="0.3">
      <c r="A25" s="71"/>
      <c r="B25" s="11" t="s">
        <v>67</v>
      </c>
      <c r="C25" s="13">
        <f t="shared" si="5"/>
        <v>0</v>
      </c>
      <c r="D25" s="12"/>
      <c r="E25" s="12"/>
      <c r="F25" s="12"/>
      <c r="G25" s="12"/>
      <c r="H25" s="26"/>
      <c r="I25" s="12"/>
    </row>
    <row r="26" spans="1:9" ht="15.6" x14ac:dyDescent="0.3">
      <c r="A26" s="71"/>
      <c r="B26" s="11" t="s">
        <v>68</v>
      </c>
      <c r="C26" s="13">
        <f t="shared" si="5"/>
        <v>0</v>
      </c>
      <c r="D26" s="12"/>
      <c r="E26" s="12"/>
      <c r="F26" s="12"/>
      <c r="G26" s="12"/>
      <c r="H26" s="26"/>
      <c r="I26" s="12"/>
    </row>
    <row r="27" spans="1:9" ht="15.6" x14ac:dyDescent="0.3">
      <c r="A27" s="72"/>
      <c r="B27" s="11" t="s">
        <v>69</v>
      </c>
      <c r="C27" s="13">
        <f t="shared" si="5"/>
        <v>0</v>
      </c>
      <c r="D27" s="12"/>
      <c r="E27" s="12"/>
      <c r="F27" s="12"/>
      <c r="G27" s="12"/>
      <c r="H27" s="26"/>
      <c r="I27" s="12"/>
    </row>
    <row r="28" spans="1:9" ht="15.6" x14ac:dyDescent="0.3">
      <c r="A28" s="63" t="s">
        <v>33</v>
      </c>
      <c r="B28" s="14" t="s">
        <v>34</v>
      </c>
      <c r="C28" s="16">
        <f>SUM(D28:I28)</f>
        <v>1</v>
      </c>
      <c r="D28" s="15"/>
      <c r="E28" s="15"/>
      <c r="F28" s="15"/>
      <c r="G28" s="15"/>
      <c r="H28" s="27"/>
      <c r="I28" s="15">
        <v>1</v>
      </c>
    </row>
    <row r="29" spans="1:9" ht="15.6" x14ac:dyDescent="0.3">
      <c r="A29" s="64"/>
      <c r="B29" s="14" t="s">
        <v>35</v>
      </c>
      <c r="C29" s="16">
        <f t="shared" ref="C29:C53" si="7">SUM(D29:I29)</f>
        <v>1</v>
      </c>
      <c r="D29" s="15"/>
      <c r="E29" s="15">
        <v>1</v>
      </c>
      <c r="F29" s="15"/>
      <c r="G29" s="15"/>
      <c r="H29" s="27"/>
      <c r="I29" s="15"/>
    </row>
    <row r="30" spans="1:9" ht="15.6" x14ac:dyDescent="0.3">
      <c r="A30" s="64"/>
      <c r="B30" s="14" t="s">
        <v>36</v>
      </c>
      <c r="C30" s="16">
        <f t="shared" si="7"/>
        <v>1</v>
      </c>
      <c r="D30" s="15">
        <v>1</v>
      </c>
      <c r="E30" s="15"/>
      <c r="F30" s="15"/>
      <c r="G30" s="15"/>
      <c r="H30" s="27"/>
      <c r="I30" s="15"/>
    </row>
    <row r="31" spans="1:9" ht="15.6" x14ac:dyDescent="0.3">
      <c r="A31" s="64"/>
      <c r="B31" s="14" t="s">
        <v>37</v>
      </c>
      <c r="C31" s="16">
        <f t="shared" si="7"/>
        <v>2</v>
      </c>
      <c r="D31" s="15"/>
      <c r="E31" s="15"/>
      <c r="F31" s="15"/>
      <c r="G31" s="15"/>
      <c r="H31" s="27"/>
      <c r="I31" s="15">
        <v>2</v>
      </c>
    </row>
    <row r="32" spans="1:9" ht="15.6" x14ac:dyDescent="0.3">
      <c r="A32" s="64"/>
      <c r="B32" s="14" t="s">
        <v>38</v>
      </c>
      <c r="C32" s="16">
        <f t="shared" si="7"/>
        <v>4</v>
      </c>
      <c r="D32" s="15"/>
      <c r="E32" s="15"/>
      <c r="F32" s="15">
        <v>4</v>
      </c>
      <c r="G32" s="15"/>
      <c r="H32" s="27"/>
      <c r="I32" s="15"/>
    </row>
    <row r="33" spans="1:9" ht="15.6" x14ac:dyDescent="0.3">
      <c r="A33" s="64"/>
      <c r="B33" s="14" t="s">
        <v>39</v>
      </c>
      <c r="C33" s="16">
        <f t="shared" si="7"/>
        <v>0</v>
      </c>
      <c r="D33" s="15"/>
      <c r="E33" s="15"/>
      <c r="F33" s="15"/>
      <c r="G33" s="15"/>
      <c r="H33" s="27"/>
      <c r="I33" s="15"/>
    </row>
    <row r="34" spans="1:9" ht="15.6" x14ac:dyDescent="0.3">
      <c r="A34" s="64"/>
      <c r="B34" s="14" t="s">
        <v>40</v>
      </c>
      <c r="C34" s="16">
        <f t="shared" si="7"/>
        <v>0</v>
      </c>
      <c r="D34" s="15"/>
      <c r="E34" s="15"/>
      <c r="F34" s="15"/>
      <c r="G34" s="15"/>
      <c r="H34" s="27"/>
      <c r="I34" s="15"/>
    </row>
    <row r="35" spans="1:9" ht="15.6" x14ac:dyDescent="0.3">
      <c r="A35" s="64"/>
      <c r="B35" s="14" t="s">
        <v>41</v>
      </c>
      <c r="C35" s="16">
        <f t="shared" si="7"/>
        <v>1</v>
      </c>
      <c r="D35" s="15">
        <v>1</v>
      </c>
      <c r="E35" s="15"/>
      <c r="F35" s="15"/>
      <c r="G35" s="15"/>
      <c r="H35" s="27"/>
      <c r="I35" s="15"/>
    </row>
    <row r="36" spans="1:9" ht="15.6" x14ac:dyDescent="0.3">
      <c r="A36" s="64"/>
      <c r="B36" s="14" t="s">
        <v>42</v>
      </c>
      <c r="C36" s="16">
        <f t="shared" si="7"/>
        <v>1</v>
      </c>
      <c r="D36" s="15">
        <v>1</v>
      </c>
      <c r="E36" s="15"/>
      <c r="F36" s="15"/>
      <c r="G36" s="15"/>
      <c r="H36" s="27"/>
      <c r="I36" s="15"/>
    </row>
    <row r="37" spans="1:9" ht="15.6" x14ac:dyDescent="0.3">
      <c r="A37" s="64"/>
      <c r="B37" s="14" t="s">
        <v>43</v>
      </c>
      <c r="C37" s="16">
        <f t="shared" si="7"/>
        <v>0</v>
      </c>
      <c r="D37" s="15"/>
      <c r="E37" s="15"/>
      <c r="F37" s="15"/>
      <c r="G37" s="15"/>
      <c r="H37" s="27"/>
      <c r="I37" s="15"/>
    </row>
    <row r="38" spans="1:9" ht="15.6" x14ac:dyDescent="0.3">
      <c r="A38" s="64"/>
      <c r="B38" s="14" t="s">
        <v>44</v>
      </c>
      <c r="C38" s="16">
        <f t="shared" si="7"/>
        <v>4</v>
      </c>
      <c r="D38" s="15"/>
      <c r="E38" s="15">
        <v>3</v>
      </c>
      <c r="F38" s="15"/>
      <c r="G38" s="15"/>
      <c r="H38" s="27"/>
      <c r="I38" s="15">
        <v>1</v>
      </c>
    </row>
    <row r="39" spans="1:9" ht="15.6" x14ac:dyDescent="0.3">
      <c r="A39" s="64"/>
      <c r="B39" s="14" t="s">
        <v>45</v>
      </c>
      <c r="C39" s="16">
        <f t="shared" si="7"/>
        <v>2</v>
      </c>
      <c r="D39" s="15"/>
      <c r="E39" s="15">
        <v>2</v>
      </c>
      <c r="F39" s="15"/>
      <c r="G39" s="15"/>
      <c r="H39" s="27"/>
      <c r="I39" s="15"/>
    </row>
    <row r="40" spans="1:9" ht="15.6" x14ac:dyDescent="0.3">
      <c r="A40" s="64"/>
      <c r="B40" s="14" t="s">
        <v>46</v>
      </c>
      <c r="C40" s="16">
        <f t="shared" si="7"/>
        <v>3</v>
      </c>
      <c r="D40" s="15"/>
      <c r="E40" s="15">
        <v>3</v>
      </c>
      <c r="F40" s="15"/>
      <c r="G40" s="15"/>
      <c r="H40" s="27"/>
      <c r="I40" s="15"/>
    </row>
    <row r="41" spans="1:9" ht="15.6" x14ac:dyDescent="0.3">
      <c r="A41" s="64"/>
      <c r="B41" s="14" t="s">
        <v>47</v>
      </c>
      <c r="C41" s="16">
        <f t="shared" si="7"/>
        <v>5</v>
      </c>
      <c r="D41" s="15">
        <v>2</v>
      </c>
      <c r="E41" s="15">
        <v>3</v>
      </c>
      <c r="F41" s="15"/>
      <c r="G41" s="15"/>
      <c r="H41" s="27"/>
      <c r="I41" s="15"/>
    </row>
    <row r="42" spans="1:9" ht="15.6" x14ac:dyDescent="0.3">
      <c r="A42" s="64"/>
      <c r="B42" s="14" t="s">
        <v>48</v>
      </c>
      <c r="C42" s="16">
        <f t="shared" si="7"/>
        <v>1</v>
      </c>
      <c r="D42" s="15"/>
      <c r="E42" s="15">
        <v>1</v>
      </c>
      <c r="F42" s="15"/>
      <c r="G42" s="15"/>
      <c r="H42" s="27"/>
      <c r="I42" s="15"/>
    </row>
    <row r="43" spans="1:9" ht="15.6" x14ac:dyDescent="0.3">
      <c r="A43" s="64"/>
      <c r="B43" s="14" t="s">
        <v>49</v>
      </c>
      <c r="C43" s="16">
        <f t="shared" si="7"/>
        <v>1</v>
      </c>
      <c r="D43" s="15"/>
      <c r="E43" s="15">
        <v>1</v>
      </c>
      <c r="F43" s="15"/>
      <c r="G43" s="15"/>
      <c r="H43" s="27"/>
      <c r="I43" s="15"/>
    </row>
    <row r="44" spans="1:9" ht="15.6" x14ac:dyDescent="0.3">
      <c r="A44" s="64"/>
      <c r="B44" s="14" t="s">
        <v>50</v>
      </c>
      <c r="C44" s="16">
        <f t="shared" si="7"/>
        <v>1</v>
      </c>
      <c r="D44" s="15"/>
      <c r="E44" s="15">
        <v>1</v>
      </c>
      <c r="F44" s="15"/>
      <c r="G44" s="15"/>
      <c r="H44" s="27"/>
      <c r="I44" s="15"/>
    </row>
    <row r="45" spans="1:9" ht="15.6" x14ac:dyDescent="0.3">
      <c r="A45" s="64"/>
      <c r="B45" s="14" t="s">
        <v>51</v>
      </c>
      <c r="C45" s="16">
        <f t="shared" si="7"/>
        <v>5</v>
      </c>
      <c r="D45" s="15">
        <v>1</v>
      </c>
      <c r="E45" s="15">
        <v>4</v>
      </c>
      <c r="F45" s="15"/>
      <c r="G45" s="15"/>
      <c r="H45" s="27"/>
      <c r="I45" s="15"/>
    </row>
    <row r="46" spans="1:9" ht="15.6" x14ac:dyDescent="0.3">
      <c r="A46" s="64"/>
      <c r="B46" s="14" t="s">
        <v>52</v>
      </c>
      <c r="C46" s="16">
        <f t="shared" si="7"/>
        <v>7</v>
      </c>
      <c r="D46" s="15">
        <v>2</v>
      </c>
      <c r="E46" s="15">
        <v>4</v>
      </c>
      <c r="F46" s="15">
        <v>1</v>
      </c>
      <c r="G46" s="15"/>
      <c r="H46" s="27"/>
      <c r="I46" s="15"/>
    </row>
    <row r="47" spans="1:9" ht="15.6" x14ac:dyDescent="0.3">
      <c r="A47" s="64"/>
      <c r="B47" s="14" t="s">
        <v>53</v>
      </c>
      <c r="C47" s="16">
        <f t="shared" si="7"/>
        <v>1</v>
      </c>
      <c r="D47" s="15">
        <v>1</v>
      </c>
      <c r="E47" s="15"/>
      <c r="F47" s="15"/>
      <c r="G47" s="15"/>
      <c r="H47" s="27"/>
      <c r="I47" s="15"/>
    </row>
    <row r="48" spans="1:9" ht="15.6" x14ac:dyDescent="0.3">
      <c r="A48" s="64"/>
      <c r="B48" s="14" t="s">
        <v>54</v>
      </c>
      <c r="C48" s="16">
        <f t="shared" si="7"/>
        <v>1</v>
      </c>
      <c r="D48" s="15"/>
      <c r="E48" s="15"/>
      <c r="F48" s="15">
        <v>1</v>
      </c>
      <c r="G48" s="15"/>
      <c r="H48" s="27"/>
      <c r="I48" s="15"/>
    </row>
    <row r="49" spans="1:9" ht="15.6" x14ac:dyDescent="0.3">
      <c r="A49" s="64"/>
      <c r="B49" s="14" t="s">
        <v>55</v>
      </c>
      <c r="C49" s="16">
        <f t="shared" si="7"/>
        <v>8</v>
      </c>
      <c r="D49" s="15">
        <v>3</v>
      </c>
      <c r="E49" s="15">
        <v>4</v>
      </c>
      <c r="F49" s="15">
        <v>1</v>
      </c>
      <c r="G49" s="15"/>
      <c r="H49" s="27"/>
      <c r="I49" s="15"/>
    </row>
    <row r="50" spans="1:9" ht="15.6" x14ac:dyDescent="0.3">
      <c r="A50" s="64"/>
      <c r="B50" s="14" t="s">
        <v>56</v>
      </c>
      <c r="C50" s="16">
        <f t="shared" si="7"/>
        <v>11</v>
      </c>
      <c r="D50" s="15">
        <v>3</v>
      </c>
      <c r="E50" s="15">
        <v>8</v>
      </c>
      <c r="F50" s="15"/>
      <c r="G50" s="15"/>
      <c r="H50" s="27"/>
      <c r="I50" s="15"/>
    </row>
    <row r="51" spans="1:9" ht="15.6" x14ac:dyDescent="0.3">
      <c r="A51" s="64"/>
      <c r="B51" s="14" t="s">
        <v>57</v>
      </c>
      <c r="C51" s="16">
        <f t="shared" si="7"/>
        <v>6</v>
      </c>
      <c r="D51" s="15">
        <v>1</v>
      </c>
      <c r="E51" s="15">
        <v>4</v>
      </c>
      <c r="F51" s="15">
        <v>1</v>
      </c>
      <c r="G51" s="15"/>
      <c r="H51" s="27"/>
      <c r="I51" s="15"/>
    </row>
    <row r="52" spans="1:9" ht="15.6" x14ac:dyDescent="0.3">
      <c r="A52" s="64"/>
      <c r="B52" s="14" t="s">
        <v>58</v>
      </c>
      <c r="C52" s="16">
        <f t="shared" si="7"/>
        <v>1</v>
      </c>
      <c r="D52" s="15">
        <v>1</v>
      </c>
      <c r="E52" s="15"/>
      <c r="F52" s="15"/>
      <c r="G52" s="15"/>
      <c r="H52" s="27"/>
      <c r="I52" s="15"/>
    </row>
    <row r="53" spans="1:9" ht="15.6" x14ac:dyDescent="0.3">
      <c r="A53" s="64"/>
      <c r="B53" s="14" t="s">
        <v>59</v>
      </c>
      <c r="C53" s="16">
        <f t="shared" si="7"/>
        <v>3</v>
      </c>
      <c r="D53" s="15"/>
      <c r="E53" s="15">
        <v>3</v>
      </c>
      <c r="F53" s="15"/>
      <c r="G53" s="15"/>
      <c r="H53" s="27"/>
      <c r="I53" s="15"/>
    </row>
  </sheetData>
  <mergeCells count="10">
    <mergeCell ref="K5:L5"/>
    <mergeCell ref="K6:L6"/>
    <mergeCell ref="K1:K4"/>
    <mergeCell ref="L1:S1"/>
    <mergeCell ref="L2:M2"/>
    <mergeCell ref="A28:A53"/>
    <mergeCell ref="A1:A2"/>
    <mergeCell ref="B1:B2"/>
    <mergeCell ref="C1:G1"/>
    <mergeCell ref="A5:A27"/>
  </mergeCells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237"/>
  <sheetViews>
    <sheetView topLeftCell="A116" workbookViewId="0">
      <selection activeCell="A2" sqref="A2:G132"/>
    </sheetView>
  </sheetViews>
  <sheetFormatPr defaultColWidth="8.77734375" defaultRowHeight="15.6" x14ac:dyDescent="0.3"/>
  <cols>
    <col min="1" max="1" width="8.77734375" style="19"/>
    <col min="2" max="2" width="26.44140625" style="1" customWidth="1"/>
    <col min="3" max="3" width="12.88671875" style="2" customWidth="1"/>
    <col min="4" max="4" width="49.33203125" style="23" customWidth="1"/>
    <col min="5" max="5" width="14" style="2" customWidth="1"/>
    <col min="6" max="6" width="47.6640625" style="2" customWidth="1"/>
    <col min="7" max="7" width="15.77734375" style="2" customWidth="1"/>
    <col min="8" max="16384" width="8.77734375" style="1"/>
  </cols>
  <sheetData>
    <row r="2" spans="1:26" ht="17.399999999999999" x14ac:dyDescent="0.3">
      <c r="A2" s="79" t="s">
        <v>0</v>
      </c>
      <c r="B2" s="80"/>
      <c r="C2" s="80"/>
      <c r="D2" s="80"/>
      <c r="E2" s="80"/>
      <c r="F2" s="81"/>
    </row>
    <row r="3" spans="1:26" ht="19.5" customHeight="1" x14ac:dyDescent="0.35">
      <c r="A3" s="82" t="s">
        <v>71</v>
      </c>
      <c r="B3" s="83"/>
      <c r="C3" s="83"/>
      <c r="D3" s="83"/>
      <c r="E3" s="83"/>
      <c r="F3" s="84"/>
    </row>
    <row r="5" spans="1:26" s="5" customFormat="1" ht="31.2" customHeight="1" x14ac:dyDescent="0.3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70</v>
      </c>
      <c r="H5" s="4"/>
    </row>
    <row r="6" spans="1:26" s="18" customFormat="1" x14ac:dyDescent="0.3">
      <c r="A6" s="39">
        <v>1</v>
      </c>
      <c r="B6" s="40" t="s">
        <v>164</v>
      </c>
      <c r="C6" s="41" t="s">
        <v>18</v>
      </c>
      <c r="D6" s="42" t="s">
        <v>10</v>
      </c>
      <c r="E6" s="43" t="s">
        <v>165</v>
      </c>
      <c r="F6" s="43" t="s">
        <v>166</v>
      </c>
      <c r="G6" s="46" t="s">
        <v>75</v>
      </c>
      <c r="H6" s="44"/>
      <c r="I6" s="28"/>
      <c r="J6" s="28"/>
      <c r="K6" s="28"/>
      <c r="L6" s="28"/>
      <c r="M6" s="28"/>
      <c r="N6" s="28"/>
      <c r="O6" s="28"/>
      <c r="P6" s="28"/>
      <c r="Q6" s="28"/>
      <c r="R6" s="28"/>
      <c r="S6" s="17"/>
      <c r="T6" s="17"/>
      <c r="U6" s="17"/>
      <c r="V6" s="17"/>
      <c r="W6" s="17"/>
      <c r="X6" s="17"/>
      <c r="Y6" s="17"/>
      <c r="Z6" s="17"/>
    </row>
    <row r="7" spans="1:26" s="18" customFormat="1" x14ac:dyDescent="0.3">
      <c r="A7" s="58"/>
      <c r="B7" s="20"/>
      <c r="C7" s="59"/>
      <c r="D7" s="60"/>
      <c r="E7" s="61"/>
      <c r="F7" s="61"/>
      <c r="G7" s="62"/>
      <c r="H7" s="44"/>
      <c r="I7" s="28"/>
      <c r="J7" s="28"/>
      <c r="K7" s="28"/>
      <c r="L7" s="28"/>
      <c r="M7" s="28"/>
      <c r="N7" s="28"/>
      <c r="O7" s="28"/>
      <c r="P7" s="28"/>
      <c r="Q7" s="28"/>
      <c r="R7" s="28"/>
      <c r="S7" s="17"/>
      <c r="T7" s="17"/>
      <c r="U7" s="17"/>
      <c r="V7" s="17"/>
      <c r="W7" s="17"/>
      <c r="X7" s="17"/>
      <c r="Y7" s="17"/>
      <c r="Z7" s="17"/>
    </row>
    <row r="8" spans="1:26" s="18" customFormat="1" x14ac:dyDescent="0.3">
      <c r="A8" s="39">
        <v>1</v>
      </c>
      <c r="B8" s="40" t="s">
        <v>170</v>
      </c>
      <c r="C8" s="41" t="s">
        <v>22</v>
      </c>
      <c r="D8" s="42" t="s">
        <v>10</v>
      </c>
      <c r="E8" s="43" t="s">
        <v>171</v>
      </c>
      <c r="F8" s="43"/>
      <c r="G8" s="46" t="s">
        <v>75</v>
      </c>
      <c r="H8" s="44"/>
      <c r="I8" s="28"/>
      <c r="J8" s="28"/>
      <c r="K8" s="28"/>
      <c r="L8" s="28"/>
      <c r="M8" s="28"/>
      <c r="N8" s="28"/>
      <c r="O8" s="28"/>
      <c r="P8" s="28"/>
      <c r="Q8" s="28"/>
      <c r="R8" s="28"/>
      <c r="S8" s="17"/>
      <c r="T8" s="17"/>
      <c r="U8" s="17"/>
      <c r="V8" s="17"/>
      <c r="W8" s="17"/>
      <c r="X8" s="17"/>
      <c r="Y8" s="17"/>
      <c r="Z8" s="17"/>
    </row>
    <row r="9" spans="1:26" s="18" customFormat="1" x14ac:dyDescent="0.3">
      <c r="A9" s="39">
        <v>2</v>
      </c>
      <c r="B9" s="40" t="s">
        <v>172</v>
      </c>
      <c r="C9" s="41" t="s">
        <v>22</v>
      </c>
      <c r="D9" s="42" t="s">
        <v>10</v>
      </c>
      <c r="E9" s="43" t="s">
        <v>173</v>
      </c>
      <c r="F9" s="43" t="s">
        <v>174</v>
      </c>
      <c r="G9" s="46" t="s">
        <v>75</v>
      </c>
      <c r="H9" s="44"/>
      <c r="I9" s="28"/>
      <c r="J9" s="28"/>
      <c r="K9" s="28"/>
      <c r="L9" s="28"/>
      <c r="M9" s="28"/>
      <c r="N9" s="28"/>
      <c r="O9" s="28"/>
      <c r="P9" s="28"/>
      <c r="Q9" s="28"/>
      <c r="R9" s="28"/>
      <c r="S9" s="17"/>
      <c r="T9" s="17"/>
      <c r="U9" s="17"/>
      <c r="V9" s="17"/>
      <c r="W9" s="17"/>
      <c r="X9" s="17"/>
      <c r="Y9" s="17"/>
      <c r="Z9" s="17"/>
    </row>
    <row r="10" spans="1:26" s="18" customFormat="1" x14ac:dyDescent="0.3">
      <c r="A10" s="58"/>
      <c r="B10" s="20"/>
      <c r="C10" s="59"/>
      <c r="D10" s="60"/>
      <c r="E10" s="61"/>
      <c r="F10" s="61"/>
      <c r="G10" s="62"/>
      <c r="H10" s="44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17"/>
      <c r="T10" s="17"/>
      <c r="U10" s="17"/>
      <c r="V10" s="17"/>
      <c r="W10" s="17"/>
      <c r="X10" s="17"/>
      <c r="Y10" s="17"/>
      <c r="Z10" s="17"/>
    </row>
    <row r="11" spans="1:26" s="18" customFormat="1" x14ac:dyDescent="0.3">
      <c r="A11" s="39">
        <v>1</v>
      </c>
      <c r="B11" s="40" t="s">
        <v>167</v>
      </c>
      <c r="C11" s="41" t="s">
        <v>23</v>
      </c>
      <c r="D11" s="42" t="s">
        <v>10</v>
      </c>
      <c r="E11" s="43" t="s">
        <v>168</v>
      </c>
      <c r="F11" s="43" t="s">
        <v>169</v>
      </c>
      <c r="G11" s="46" t="s">
        <v>75</v>
      </c>
      <c r="H11" s="44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17"/>
      <c r="T11" s="17"/>
      <c r="U11" s="17"/>
      <c r="V11" s="17"/>
      <c r="W11" s="17"/>
      <c r="X11" s="17"/>
      <c r="Y11" s="17"/>
      <c r="Z11" s="17"/>
    </row>
    <row r="12" spans="1:26" s="18" customFormat="1" x14ac:dyDescent="0.3">
      <c r="A12" s="58"/>
      <c r="B12" s="20"/>
      <c r="C12" s="59"/>
      <c r="D12" s="60"/>
      <c r="E12" s="61"/>
      <c r="F12" s="61"/>
      <c r="G12" s="62"/>
      <c r="H12" s="44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17"/>
      <c r="T12" s="17"/>
      <c r="U12" s="17"/>
      <c r="V12" s="17"/>
      <c r="W12" s="17"/>
      <c r="X12" s="17"/>
      <c r="Y12" s="17"/>
      <c r="Z12" s="17"/>
    </row>
    <row r="13" spans="1:26" s="18" customFormat="1" x14ac:dyDescent="0.3">
      <c r="A13" s="39">
        <v>1</v>
      </c>
      <c r="B13" s="40" t="s">
        <v>100</v>
      </c>
      <c r="C13" s="41" t="s">
        <v>25</v>
      </c>
      <c r="D13" s="42" t="s">
        <v>11</v>
      </c>
      <c r="E13" s="43" t="s">
        <v>77</v>
      </c>
      <c r="F13" s="43" t="s">
        <v>83</v>
      </c>
      <c r="G13" s="46" t="s">
        <v>75</v>
      </c>
      <c r="H13" s="44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17"/>
      <c r="T13" s="17"/>
      <c r="U13" s="17"/>
      <c r="V13" s="17"/>
      <c r="W13" s="17"/>
      <c r="X13" s="17"/>
      <c r="Y13" s="17"/>
      <c r="Z13" s="17"/>
    </row>
    <row r="14" spans="1:26" s="18" customFormat="1" x14ac:dyDescent="0.3">
      <c r="A14" s="58"/>
      <c r="B14" s="20"/>
      <c r="C14" s="59"/>
      <c r="D14" s="60"/>
      <c r="E14" s="61"/>
      <c r="F14" s="61"/>
      <c r="G14" s="62"/>
      <c r="H14" s="44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17"/>
      <c r="T14" s="17"/>
      <c r="U14" s="17"/>
      <c r="V14" s="17"/>
      <c r="W14" s="17"/>
      <c r="X14" s="17"/>
      <c r="Y14" s="17"/>
      <c r="Z14" s="17"/>
    </row>
    <row r="15" spans="1:26" s="18" customFormat="1" x14ac:dyDescent="0.3">
      <c r="A15" s="39">
        <v>1</v>
      </c>
      <c r="B15" s="40" t="s">
        <v>108</v>
      </c>
      <c r="C15" s="41" t="s">
        <v>28</v>
      </c>
      <c r="D15" s="42" t="s">
        <v>109</v>
      </c>
      <c r="E15" s="43"/>
      <c r="F15" s="43"/>
      <c r="G15" s="46" t="s">
        <v>92</v>
      </c>
      <c r="H15" s="44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17"/>
      <c r="T15" s="17"/>
      <c r="U15" s="17"/>
      <c r="V15" s="17"/>
      <c r="W15" s="17"/>
      <c r="X15" s="17"/>
      <c r="Y15" s="17"/>
      <c r="Z15" s="17"/>
    </row>
    <row r="16" spans="1:26" s="18" customFormat="1" ht="16.2" customHeight="1" x14ac:dyDescent="0.3">
      <c r="A16" s="39">
        <v>2</v>
      </c>
      <c r="B16" s="40" t="s">
        <v>110</v>
      </c>
      <c r="C16" s="41" t="s">
        <v>28</v>
      </c>
      <c r="D16" s="42" t="s">
        <v>109</v>
      </c>
      <c r="E16" s="43"/>
      <c r="F16" s="43"/>
      <c r="G16" s="46" t="s">
        <v>92</v>
      </c>
      <c r="H16" s="44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17"/>
      <c r="T16" s="17"/>
      <c r="U16" s="17"/>
      <c r="V16" s="17"/>
      <c r="W16" s="17"/>
      <c r="X16" s="17"/>
      <c r="Y16" s="17"/>
      <c r="Z16" s="17"/>
    </row>
    <row r="17" spans="1:26" s="18" customFormat="1" ht="16.2" customHeight="1" x14ac:dyDescent="0.3">
      <c r="A17" s="58"/>
      <c r="B17" s="20"/>
      <c r="C17" s="59"/>
      <c r="D17" s="60"/>
      <c r="E17" s="61"/>
      <c r="F17" s="61"/>
      <c r="G17" s="62"/>
      <c r="H17" s="44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17"/>
      <c r="T17" s="17"/>
      <c r="U17" s="17"/>
      <c r="V17" s="17"/>
      <c r="W17" s="17"/>
      <c r="X17" s="17"/>
      <c r="Y17" s="17"/>
      <c r="Z17" s="17"/>
    </row>
    <row r="18" spans="1:26" s="18" customFormat="1" x14ac:dyDescent="0.3">
      <c r="A18" s="39">
        <v>1</v>
      </c>
      <c r="B18" s="40" t="s">
        <v>120</v>
      </c>
      <c r="C18" s="41" t="s">
        <v>29</v>
      </c>
      <c r="D18" s="42" t="s">
        <v>11</v>
      </c>
      <c r="E18" s="43" t="s">
        <v>121</v>
      </c>
      <c r="F18" s="43" t="s">
        <v>83</v>
      </c>
      <c r="G18" s="46" t="s">
        <v>75</v>
      </c>
      <c r="H18" s="44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17"/>
      <c r="T18" s="17"/>
      <c r="U18" s="17"/>
      <c r="V18" s="17"/>
      <c r="W18" s="17"/>
      <c r="X18" s="17"/>
      <c r="Y18" s="17"/>
      <c r="Z18" s="17"/>
    </row>
    <row r="19" spans="1:26" s="18" customFormat="1" x14ac:dyDescent="0.3">
      <c r="A19" s="58"/>
      <c r="B19" s="20"/>
      <c r="C19" s="59"/>
      <c r="D19" s="60"/>
      <c r="E19" s="61"/>
      <c r="F19" s="61"/>
      <c r="G19" s="62"/>
      <c r="H19" s="44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17"/>
      <c r="T19" s="17"/>
      <c r="U19" s="17"/>
      <c r="V19" s="17"/>
      <c r="W19" s="17"/>
      <c r="X19" s="17"/>
      <c r="Y19" s="17"/>
      <c r="Z19" s="17"/>
    </row>
    <row r="20" spans="1:26" s="18" customFormat="1" x14ac:dyDescent="0.3">
      <c r="A20" s="39">
        <v>1</v>
      </c>
      <c r="B20" s="40" t="s">
        <v>197</v>
      </c>
      <c r="C20" s="41" t="s">
        <v>65</v>
      </c>
      <c r="D20" s="42" t="s">
        <v>198</v>
      </c>
      <c r="E20" s="43" t="s">
        <v>86</v>
      </c>
      <c r="F20" s="43" t="s">
        <v>199</v>
      </c>
      <c r="G20" s="46" t="s">
        <v>75</v>
      </c>
      <c r="H20" s="44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17"/>
      <c r="T20" s="17"/>
      <c r="U20" s="17"/>
      <c r="V20" s="17"/>
      <c r="W20" s="17"/>
      <c r="X20" s="17"/>
      <c r="Y20" s="17"/>
      <c r="Z20" s="17"/>
    </row>
    <row r="21" spans="1:26" s="18" customFormat="1" x14ac:dyDescent="0.3">
      <c r="A21" s="58"/>
      <c r="B21" s="20"/>
      <c r="C21" s="59"/>
      <c r="D21" s="60"/>
      <c r="E21" s="61"/>
      <c r="F21" s="61"/>
      <c r="G21" s="62"/>
      <c r="H21" s="44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17"/>
      <c r="T21" s="17"/>
      <c r="U21" s="17"/>
      <c r="V21" s="17"/>
      <c r="W21" s="17"/>
      <c r="X21" s="17"/>
      <c r="Y21" s="17"/>
      <c r="Z21" s="17"/>
    </row>
    <row r="22" spans="1:26" ht="14.4" customHeight="1" x14ac:dyDescent="0.3">
      <c r="A22" s="39">
        <v>1</v>
      </c>
      <c r="B22" s="45" t="s">
        <v>106</v>
      </c>
      <c r="C22" s="41" t="s">
        <v>30</v>
      </c>
      <c r="D22" s="42" t="s">
        <v>11</v>
      </c>
      <c r="E22" s="46" t="s">
        <v>105</v>
      </c>
      <c r="F22" s="46" t="s">
        <v>83</v>
      </c>
      <c r="G22" s="56" t="s">
        <v>75</v>
      </c>
      <c r="H22" s="47"/>
    </row>
    <row r="23" spans="1:26" ht="14.4" customHeight="1" x14ac:dyDescent="0.3">
      <c r="A23" s="58"/>
      <c r="B23" s="20"/>
      <c r="C23" s="59"/>
      <c r="D23" s="60"/>
      <c r="E23" s="61"/>
      <c r="F23" s="61"/>
      <c r="G23" s="62"/>
      <c r="H23" s="47"/>
    </row>
    <row r="24" spans="1:26" ht="14.4" customHeight="1" x14ac:dyDescent="0.3">
      <c r="A24" s="39">
        <v>1</v>
      </c>
      <c r="B24" s="45" t="s">
        <v>103</v>
      </c>
      <c r="C24" s="41" t="s">
        <v>31</v>
      </c>
      <c r="D24" s="42" t="s">
        <v>11</v>
      </c>
      <c r="E24" s="46" t="s">
        <v>102</v>
      </c>
      <c r="F24" s="46" t="s">
        <v>83</v>
      </c>
      <c r="G24" s="56" t="s">
        <v>75</v>
      </c>
      <c r="H24" s="47"/>
    </row>
    <row r="25" spans="1:26" ht="14.4" customHeight="1" x14ac:dyDescent="0.3">
      <c r="A25" s="39">
        <v>2</v>
      </c>
      <c r="B25" s="45" t="s">
        <v>104</v>
      </c>
      <c r="C25" s="48" t="s">
        <v>31</v>
      </c>
      <c r="D25" s="45" t="s">
        <v>11</v>
      </c>
      <c r="E25" s="46" t="s">
        <v>105</v>
      </c>
      <c r="F25" s="46" t="s">
        <v>83</v>
      </c>
      <c r="G25" s="56" t="s">
        <v>75</v>
      </c>
      <c r="H25" s="47"/>
    </row>
    <row r="26" spans="1:26" ht="14.4" customHeight="1" x14ac:dyDescent="0.3">
      <c r="A26" s="39">
        <v>3</v>
      </c>
      <c r="B26" s="40" t="s">
        <v>107</v>
      </c>
      <c r="C26" s="41" t="s">
        <v>31</v>
      </c>
      <c r="D26" s="42" t="s">
        <v>11</v>
      </c>
      <c r="E26" s="43" t="s">
        <v>105</v>
      </c>
      <c r="F26" s="43" t="s">
        <v>83</v>
      </c>
      <c r="G26" s="56" t="s">
        <v>75</v>
      </c>
      <c r="H26" s="47"/>
    </row>
    <row r="27" spans="1:26" ht="14.4" customHeight="1" x14ac:dyDescent="0.3">
      <c r="A27" s="58"/>
      <c r="B27" s="20"/>
      <c r="C27" s="59"/>
      <c r="D27" s="60"/>
      <c r="E27" s="61"/>
      <c r="F27" s="61"/>
      <c r="G27" s="62"/>
      <c r="H27" s="47"/>
    </row>
    <row r="28" spans="1:26" ht="14.4" customHeight="1" x14ac:dyDescent="0.3">
      <c r="A28" s="39">
        <v>1</v>
      </c>
      <c r="B28" s="40" t="s">
        <v>88</v>
      </c>
      <c r="C28" s="41" t="s">
        <v>32</v>
      </c>
      <c r="D28" s="42" t="s">
        <v>89</v>
      </c>
      <c r="E28" s="43" t="s">
        <v>90</v>
      </c>
      <c r="F28" s="43" t="s">
        <v>91</v>
      </c>
      <c r="G28" s="56" t="s">
        <v>92</v>
      </c>
      <c r="H28" s="47"/>
    </row>
    <row r="29" spans="1:26" x14ac:dyDescent="0.3">
      <c r="A29" s="39">
        <v>2</v>
      </c>
      <c r="B29" s="40" t="s">
        <v>93</v>
      </c>
      <c r="C29" s="41" t="s">
        <v>32</v>
      </c>
      <c r="D29" s="42" t="s">
        <v>89</v>
      </c>
      <c r="E29" s="43" t="s">
        <v>90</v>
      </c>
      <c r="F29" s="43" t="s">
        <v>91</v>
      </c>
      <c r="G29" s="43" t="s">
        <v>92</v>
      </c>
      <c r="H29" s="40"/>
    </row>
    <row r="30" spans="1:26" x14ac:dyDescent="0.3">
      <c r="A30" s="39">
        <v>3</v>
      </c>
      <c r="B30" s="40" t="s">
        <v>94</v>
      </c>
      <c r="C30" s="41" t="s">
        <v>32</v>
      </c>
      <c r="D30" s="42" t="s">
        <v>89</v>
      </c>
      <c r="E30" s="43" t="s">
        <v>90</v>
      </c>
      <c r="F30" s="43" t="s">
        <v>91</v>
      </c>
      <c r="G30" s="43" t="s">
        <v>92</v>
      </c>
      <c r="H30" s="40"/>
    </row>
    <row r="31" spans="1:26" x14ac:dyDescent="0.3">
      <c r="A31" s="39">
        <v>4</v>
      </c>
      <c r="B31" s="40" t="s">
        <v>101</v>
      </c>
      <c r="C31" s="41" t="s">
        <v>32</v>
      </c>
      <c r="D31" s="42" t="s">
        <v>11</v>
      </c>
      <c r="E31" s="49" t="s">
        <v>102</v>
      </c>
      <c r="F31" s="49" t="s">
        <v>11</v>
      </c>
      <c r="G31" s="43" t="s">
        <v>75</v>
      </c>
      <c r="H31" s="40"/>
    </row>
    <row r="32" spans="1:26" x14ac:dyDescent="0.3">
      <c r="A32" s="39">
        <v>5</v>
      </c>
      <c r="B32" s="50" t="s">
        <v>122</v>
      </c>
      <c r="C32" s="41" t="s">
        <v>32</v>
      </c>
      <c r="D32" s="42" t="s">
        <v>89</v>
      </c>
      <c r="E32" s="49" t="s">
        <v>90</v>
      </c>
      <c r="F32" s="49" t="s">
        <v>226</v>
      </c>
      <c r="G32" s="43" t="s">
        <v>92</v>
      </c>
      <c r="H32" s="40"/>
    </row>
    <row r="33" spans="1:8" x14ac:dyDescent="0.3">
      <c r="A33" s="39">
        <v>6</v>
      </c>
      <c r="B33" s="50" t="s">
        <v>101</v>
      </c>
      <c r="C33" s="41" t="s">
        <v>32</v>
      </c>
      <c r="D33" s="51" t="s">
        <v>89</v>
      </c>
      <c r="E33" s="49" t="s">
        <v>90</v>
      </c>
      <c r="F33" s="49"/>
      <c r="G33" s="43" t="s">
        <v>92</v>
      </c>
      <c r="H33" s="40"/>
    </row>
    <row r="34" spans="1:8" x14ac:dyDescent="0.3">
      <c r="A34" s="39">
        <v>7</v>
      </c>
      <c r="B34" s="50" t="s">
        <v>94</v>
      </c>
      <c r="C34" s="41" t="s">
        <v>32</v>
      </c>
      <c r="D34" s="51" t="s">
        <v>11</v>
      </c>
      <c r="E34" s="49" t="s">
        <v>126</v>
      </c>
      <c r="F34" s="49" t="s">
        <v>200</v>
      </c>
      <c r="G34" s="43" t="s">
        <v>75</v>
      </c>
      <c r="H34" s="40"/>
    </row>
    <row r="35" spans="1:8" x14ac:dyDescent="0.3">
      <c r="A35" s="39">
        <v>8</v>
      </c>
      <c r="B35" s="50" t="s">
        <v>122</v>
      </c>
      <c r="C35" s="41" t="s">
        <v>32</v>
      </c>
      <c r="D35" s="51" t="s">
        <v>11</v>
      </c>
      <c r="E35" s="49" t="s">
        <v>126</v>
      </c>
      <c r="F35" s="49" t="s">
        <v>200</v>
      </c>
      <c r="G35" s="43" t="s">
        <v>75</v>
      </c>
      <c r="H35" s="40"/>
    </row>
    <row r="36" spans="1:8" x14ac:dyDescent="0.3">
      <c r="A36" s="39">
        <v>9</v>
      </c>
      <c r="B36" s="50" t="s">
        <v>127</v>
      </c>
      <c r="C36" s="41" t="s">
        <v>32</v>
      </c>
      <c r="D36" s="51" t="s">
        <v>11</v>
      </c>
      <c r="E36" s="49" t="s">
        <v>121</v>
      </c>
      <c r="F36" s="49" t="s">
        <v>200</v>
      </c>
      <c r="G36" s="43" t="s">
        <v>75</v>
      </c>
      <c r="H36" s="40"/>
    </row>
    <row r="37" spans="1:8" x14ac:dyDescent="0.3">
      <c r="A37" s="58"/>
      <c r="B37" s="20"/>
      <c r="C37" s="59"/>
      <c r="D37" s="60"/>
      <c r="E37" s="61"/>
      <c r="F37" s="61"/>
      <c r="G37" s="62"/>
      <c r="H37" s="40"/>
    </row>
    <row r="38" spans="1:8" x14ac:dyDescent="0.3">
      <c r="A38" s="52">
        <v>1</v>
      </c>
      <c r="B38" s="40" t="s">
        <v>124</v>
      </c>
      <c r="C38" s="41" t="s">
        <v>66</v>
      </c>
      <c r="D38" s="42" t="s">
        <v>109</v>
      </c>
      <c r="E38" s="43" t="s">
        <v>90</v>
      </c>
      <c r="F38" s="43" t="s">
        <v>125</v>
      </c>
      <c r="G38" s="43" t="s">
        <v>92</v>
      </c>
      <c r="H38" s="40"/>
    </row>
    <row r="39" spans="1:8" x14ac:dyDescent="0.3">
      <c r="A39" s="58"/>
      <c r="B39" s="20"/>
      <c r="C39" s="59"/>
      <c r="D39" s="60"/>
      <c r="E39" s="61"/>
      <c r="F39" s="61"/>
      <c r="G39" s="62"/>
      <c r="H39" s="40"/>
    </row>
    <row r="40" spans="1:8" x14ac:dyDescent="0.3">
      <c r="A40" s="39">
        <v>1</v>
      </c>
      <c r="B40" s="40"/>
      <c r="C40" s="41" t="s">
        <v>34</v>
      </c>
      <c r="D40" s="42" t="s">
        <v>95</v>
      </c>
      <c r="E40" s="43" t="s">
        <v>96</v>
      </c>
      <c r="F40" s="43" t="s">
        <v>97</v>
      </c>
      <c r="G40" s="43" t="s">
        <v>75</v>
      </c>
      <c r="H40" s="40"/>
    </row>
    <row r="41" spans="1:8" x14ac:dyDescent="0.3">
      <c r="A41" s="58"/>
      <c r="B41" s="20"/>
      <c r="C41" s="59"/>
      <c r="D41" s="60"/>
      <c r="E41" s="61"/>
      <c r="F41" s="61"/>
      <c r="G41" s="62"/>
      <c r="H41" s="40"/>
    </row>
    <row r="42" spans="1:8" x14ac:dyDescent="0.3">
      <c r="A42" s="39">
        <v>1</v>
      </c>
      <c r="B42" s="40" t="s">
        <v>98</v>
      </c>
      <c r="C42" s="41" t="s">
        <v>35</v>
      </c>
      <c r="D42" s="42" t="s">
        <v>11</v>
      </c>
      <c r="E42" s="43" t="s">
        <v>99</v>
      </c>
      <c r="F42" s="43" t="s">
        <v>83</v>
      </c>
      <c r="G42" s="43" t="s">
        <v>75</v>
      </c>
      <c r="H42" s="40"/>
    </row>
    <row r="43" spans="1:8" x14ac:dyDescent="0.3">
      <c r="A43" s="58"/>
      <c r="B43" s="20"/>
      <c r="C43" s="59"/>
      <c r="D43" s="60"/>
      <c r="E43" s="61"/>
      <c r="F43" s="61"/>
      <c r="G43" s="62"/>
      <c r="H43" s="40"/>
    </row>
    <row r="44" spans="1:8" x14ac:dyDescent="0.3">
      <c r="A44" s="52">
        <v>1</v>
      </c>
      <c r="B44" s="45" t="s">
        <v>177</v>
      </c>
      <c r="C44" s="48" t="s">
        <v>36</v>
      </c>
      <c r="D44" s="45" t="s">
        <v>10</v>
      </c>
      <c r="E44" s="46" t="s">
        <v>176</v>
      </c>
      <c r="F44" s="46"/>
      <c r="G44" s="43" t="s">
        <v>75</v>
      </c>
      <c r="H44" s="40"/>
    </row>
    <row r="45" spans="1:8" x14ac:dyDescent="0.3">
      <c r="A45" s="58"/>
      <c r="B45" s="20"/>
      <c r="C45" s="59"/>
      <c r="D45" s="60"/>
      <c r="E45" s="61"/>
      <c r="F45" s="61"/>
      <c r="G45" s="62"/>
      <c r="H45" s="40"/>
    </row>
    <row r="46" spans="1:8" x14ac:dyDescent="0.3">
      <c r="A46" s="52">
        <v>1</v>
      </c>
      <c r="B46" s="45" t="s">
        <v>79</v>
      </c>
      <c r="C46" s="48" t="s">
        <v>37</v>
      </c>
      <c r="D46" s="45" t="s">
        <v>80</v>
      </c>
      <c r="E46" s="46" t="s">
        <v>77</v>
      </c>
      <c r="F46" s="46"/>
      <c r="G46" s="43" t="s">
        <v>75</v>
      </c>
      <c r="H46" s="40"/>
    </row>
    <row r="47" spans="1:8" x14ac:dyDescent="0.3">
      <c r="A47" s="39">
        <v>2</v>
      </c>
      <c r="B47" s="40" t="s">
        <v>81</v>
      </c>
      <c r="C47" s="41" t="s">
        <v>37</v>
      </c>
      <c r="D47" s="42" t="s">
        <v>80</v>
      </c>
      <c r="E47" s="43" t="s">
        <v>77</v>
      </c>
      <c r="F47" s="43"/>
      <c r="G47" s="43" t="s">
        <v>75</v>
      </c>
      <c r="H47" s="40"/>
    </row>
    <row r="48" spans="1:8" x14ac:dyDescent="0.3">
      <c r="A48" s="58"/>
      <c r="B48" s="20"/>
      <c r="C48" s="59"/>
      <c r="D48" s="60"/>
      <c r="E48" s="61"/>
      <c r="F48" s="61"/>
      <c r="G48" s="62"/>
      <c r="H48" s="40"/>
    </row>
    <row r="49" spans="1:8" x14ac:dyDescent="0.3">
      <c r="A49" s="39">
        <v>1</v>
      </c>
      <c r="B49" s="40" t="s">
        <v>112</v>
      </c>
      <c r="C49" s="48" t="s">
        <v>38</v>
      </c>
      <c r="D49" s="42" t="s">
        <v>109</v>
      </c>
      <c r="E49" s="43"/>
      <c r="F49" s="43"/>
      <c r="G49" s="43" t="s">
        <v>92</v>
      </c>
      <c r="H49" s="40"/>
    </row>
    <row r="50" spans="1:8" x14ac:dyDescent="0.3">
      <c r="A50" s="39">
        <v>2</v>
      </c>
      <c r="B50" s="40" t="s">
        <v>113</v>
      </c>
      <c r="C50" s="41" t="s">
        <v>38</v>
      </c>
      <c r="D50" s="42" t="s">
        <v>109</v>
      </c>
      <c r="E50" s="43"/>
      <c r="F50" s="43" t="s">
        <v>114</v>
      </c>
      <c r="G50" s="43" t="s">
        <v>92</v>
      </c>
      <c r="H50" s="40"/>
    </row>
    <row r="51" spans="1:8" x14ac:dyDescent="0.3">
      <c r="A51" s="39">
        <v>3</v>
      </c>
      <c r="B51" s="40" t="s">
        <v>113</v>
      </c>
      <c r="C51" s="41" t="s">
        <v>38</v>
      </c>
      <c r="D51" s="42" t="s">
        <v>89</v>
      </c>
      <c r="E51" s="43"/>
      <c r="F51" s="43" t="s">
        <v>115</v>
      </c>
      <c r="G51" s="43" t="s">
        <v>92</v>
      </c>
      <c r="H51" s="40"/>
    </row>
    <row r="52" spans="1:8" x14ac:dyDescent="0.3">
      <c r="A52" s="41">
        <v>4</v>
      </c>
      <c r="B52" s="45" t="s">
        <v>116</v>
      </c>
      <c r="C52" s="41" t="s">
        <v>38</v>
      </c>
      <c r="D52" s="45" t="s">
        <v>89</v>
      </c>
      <c r="E52" s="46"/>
      <c r="F52" s="46" t="s">
        <v>115</v>
      </c>
      <c r="G52" s="46" t="s">
        <v>92</v>
      </c>
      <c r="H52" s="40"/>
    </row>
    <row r="53" spans="1:8" x14ac:dyDescent="0.3">
      <c r="A53" s="58"/>
      <c r="B53" s="20"/>
      <c r="C53" s="59"/>
      <c r="D53" s="60"/>
      <c r="E53" s="61"/>
      <c r="F53" s="61"/>
      <c r="G53" s="62"/>
      <c r="H53" s="40"/>
    </row>
    <row r="54" spans="1:8" x14ac:dyDescent="0.3">
      <c r="A54" s="41">
        <v>1</v>
      </c>
      <c r="B54" s="45" t="s">
        <v>186</v>
      </c>
      <c r="C54" s="41" t="s">
        <v>41</v>
      </c>
      <c r="D54" s="45" t="s">
        <v>10</v>
      </c>
      <c r="E54" s="46" t="s">
        <v>187</v>
      </c>
      <c r="F54" s="46"/>
      <c r="G54" s="46" t="s">
        <v>75</v>
      </c>
      <c r="H54" s="40"/>
    </row>
    <row r="55" spans="1:8" x14ac:dyDescent="0.3">
      <c r="A55" s="58"/>
      <c r="B55" s="20"/>
      <c r="C55" s="59"/>
      <c r="D55" s="60"/>
      <c r="E55" s="61"/>
      <c r="F55" s="61"/>
      <c r="G55" s="62"/>
      <c r="H55" s="40"/>
    </row>
    <row r="56" spans="1:8" x14ac:dyDescent="0.3">
      <c r="A56" s="41">
        <v>1</v>
      </c>
      <c r="B56" s="45" t="s">
        <v>184</v>
      </c>
      <c r="C56" s="41" t="s">
        <v>42</v>
      </c>
      <c r="D56" s="45" t="s">
        <v>10</v>
      </c>
      <c r="E56" s="46" t="s">
        <v>185</v>
      </c>
      <c r="F56" s="46" t="s">
        <v>174</v>
      </c>
      <c r="G56" s="46" t="s">
        <v>75</v>
      </c>
      <c r="H56" s="40"/>
    </row>
    <row r="57" spans="1:8" x14ac:dyDescent="0.3">
      <c r="A57" s="58"/>
      <c r="B57" s="20"/>
      <c r="C57" s="59"/>
      <c r="D57" s="60"/>
      <c r="E57" s="61"/>
      <c r="F57" s="61"/>
      <c r="G57" s="62"/>
      <c r="H57" s="40"/>
    </row>
    <row r="58" spans="1:8" x14ac:dyDescent="0.3">
      <c r="A58" s="41">
        <v>1</v>
      </c>
      <c r="B58" s="45" t="s">
        <v>84</v>
      </c>
      <c r="C58" s="41" t="s">
        <v>44</v>
      </c>
      <c r="D58" s="45" t="s">
        <v>85</v>
      </c>
      <c r="E58" s="46" t="s">
        <v>86</v>
      </c>
      <c r="F58" s="46" t="s">
        <v>87</v>
      </c>
      <c r="G58" s="46" t="s">
        <v>75</v>
      </c>
      <c r="H58" s="40"/>
    </row>
    <row r="59" spans="1:8" x14ac:dyDescent="0.3">
      <c r="A59" s="39">
        <v>2</v>
      </c>
      <c r="B59" s="40" t="s">
        <v>128</v>
      </c>
      <c r="C59" s="41" t="s">
        <v>44</v>
      </c>
      <c r="D59" s="42" t="s">
        <v>11</v>
      </c>
      <c r="E59" s="43" t="s">
        <v>121</v>
      </c>
      <c r="F59" s="43" t="s">
        <v>83</v>
      </c>
      <c r="G59" s="46" t="s">
        <v>75</v>
      </c>
      <c r="H59" s="40"/>
    </row>
    <row r="60" spans="1:8" x14ac:dyDescent="0.3">
      <c r="A60" s="39">
        <v>3</v>
      </c>
      <c r="B60" s="40" t="s">
        <v>148</v>
      </c>
      <c r="C60" s="41" t="s">
        <v>44</v>
      </c>
      <c r="D60" s="42" t="s">
        <v>11</v>
      </c>
      <c r="E60" s="43" t="s">
        <v>121</v>
      </c>
      <c r="F60" s="43" t="s">
        <v>83</v>
      </c>
      <c r="G60" s="46" t="s">
        <v>75</v>
      </c>
      <c r="H60" s="40"/>
    </row>
    <row r="61" spans="1:8" x14ac:dyDescent="0.3">
      <c r="A61" s="41">
        <v>4</v>
      </c>
      <c r="B61" s="40" t="s">
        <v>149</v>
      </c>
      <c r="C61" s="41" t="s">
        <v>44</v>
      </c>
      <c r="D61" s="42" t="s">
        <v>11</v>
      </c>
      <c r="E61" s="43" t="s">
        <v>121</v>
      </c>
      <c r="F61" s="43" t="s">
        <v>83</v>
      </c>
      <c r="G61" s="43" t="s">
        <v>75</v>
      </c>
      <c r="H61" s="40"/>
    </row>
    <row r="62" spans="1:8" x14ac:dyDescent="0.3">
      <c r="A62" s="58"/>
      <c r="B62" s="20"/>
      <c r="C62" s="59"/>
      <c r="D62" s="60"/>
      <c r="E62" s="61"/>
      <c r="F62" s="61"/>
      <c r="G62" s="62"/>
      <c r="H62" s="40"/>
    </row>
    <row r="63" spans="1:8" x14ac:dyDescent="0.3">
      <c r="A63" s="41">
        <v>1</v>
      </c>
      <c r="B63" s="40" t="s">
        <v>129</v>
      </c>
      <c r="C63" s="41" t="s">
        <v>45</v>
      </c>
      <c r="D63" s="42" t="s">
        <v>11</v>
      </c>
      <c r="E63" s="43" t="s">
        <v>121</v>
      </c>
      <c r="F63" s="43" t="s">
        <v>83</v>
      </c>
      <c r="G63" s="43" t="s">
        <v>75</v>
      </c>
      <c r="H63" s="40"/>
    </row>
    <row r="64" spans="1:8" x14ac:dyDescent="0.3">
      <c r="A64" s="41">
        <v>2</v>
      </c>
      <c r="B64" s="45" t="s">
        <v>130</v>
      </c>
      <c r="C64" s="48" t="s">
        <v>45</v>
      </c>
      <c r="D64" s="53" t="s">
        <v>11</v>
      </c>
      <c r="E64" s="46" t="s">
        <v>121</v>
      </c>
      <c r="F64" s="46" t="s">
        <v>83</v>
      </c>
      <c r="G64" s="46" t="s">
        <v>75</v>
      </c>
      <c r="H64" s="45"/>
    </row>
    <row r="65" spans="1:18" x14ac:dyDescent="0.3">
      <c r="A65" s="58"/>
      <c r="B65" s="20"/>
      <c r="C65" s="59"/>
      <c r="D65" s="60"/>
      <c r="E65" s="61"/>
      <c r="F65" s="61"/>
      <c r="G65" s="62"/>
      <c r="H65" s="45"/>
    </row>
    <row r="66" spans="1:18" ht="16.8" customHeight="1" x14ac:dyDescent="0.3">
      <c r="A66" s="41">
        <v>1</v>
      </c>
      <c r="B66" s="45" t="s">
        <v>131</v>
      </c>
      <c r="C66" s="48" t="s">
        <v>46</v>
      </c>
      <c r="D66" s="54" t="s">
        <v>11</v>
      </c>
      <c r="E66" s="46" t="s">
        <v>121</v>
      </c>
      <c r="F66" s="46" t="s">
        <v>83</v>
      </c>
      <c r="G66" s="46" t="s">
        <v>75</v>
      </c>
      <c r="H66" s="45"/>
    </row>
    <row r="67" spans="1:18" ht="16.8" customHeight="1" x14ac:dyDescent="0.3">
      <c r="A67" s="41">
        <v>2</v>
      </c>
      <c r="B67" s="45" t="s">
        <v>137</v>
      </c>
      <c r="C67" s="48" t="s">
        <v>46</v>
      </c>
      <c r="D67" s="42" t="s">
        <v>11</v>
      </c>
      <c r="E67" s="46" t="s">
        <v>121</v>
      </c>
      <c r="F67" s="46" t="s">
        <v>83</v>
      </c>
      <c r="G67" s="46" t="s">
        <v>75</v>
      </c>
      <c r="H67" s="45"/>
    </row>
    <row r="68" spans="1:18" ht="16.8" customHeight="1" x14ac:dyDescent="0.3">
      <c r="A68" s="41">
        <v>3</v>
      </c>
      <c r="B68" s="45" t="s">
        <v>138</v>
      </c>
      <c r="C68" s="48" t="s">
        <v>46</v>
      </c>
      <c r="D68" s="54" t="s">
        <v>11</v>
      </c>
      <c r="E68" s="46" t="s">
        <v>121</v>
      </c>
      <c r="F68" s="46" t="s">
        <v>83</v>
      </c>
      <c r="G68" s="46" t="s">
        <v>75</v>
      </c>
      <c r="H68" s="45"/>
    </row>
    <row r="69" spans="1:18" ht="16.8" customHeight="1" x14ac:dyDescent="0.3">
      <c r="A69" s="58"/>
      <c r="B69" s="20"/>
      <c r="C69" s="59"/>
      <c r="D69" s="60"/>
      <c r="E69" s="61"/>
      <c r="F69" s="61"/>
      <c r="G69" s="62"/>
      <c r="H69" s="45"/>
    </row>
    <row r="70" spans="1:18" ht="16.8" customHeight="1" x14ac:dyDescent="0.3">
      <c r="A70" s="41">
        <v>1</v>
      </c>
      <c r="B70" s="45" t="s">
        <v>134</v>
      </c>
      <c r="C70" s="48" t="s">
        <v>47</v>
      </c>
      <c r="D70" s="54" t="s">
        <v>11</v>
      </c>
      <c r="E70" s="46" t="s">
        <v>121</v>
      </c>
      <c r="F70" s="46" t="s">
        <v>83</v>
      </c>
      <c r="G70" s="46" t="s">
        <v>75</v>
      </c>
      <c r="H70" s="45"/>
    </row>
    <row r="71" spans="1:18" ht="16.8" customHeight="1" x14ac:dyDescent="0.3">
      <c r="A71" s="39">
        <v>2</v>
      </c>
      <c r="B71" s="40" t="s">
        <v>135</v>
      </c>
      <c r="C71" s="41" t="s">
        <v>47</v>
      </c>
      <c r="D71" s="42" t="s">
        <v>11</v>
      </c>
      <c r="E71" s="43" t="s">
        <v>121</v>
      </c>
      <c r="F71" s="43" t="s">
        <v>83</v>
      </c>
      <c r="G71" s="46" t="s">
        <v>75</v>
      </c>
      <c r="H71" s="45"/>
    </row>
    <row r="72" spans="1:18" ht="14.4" customHeight="1" x14ac:dyDescent="0.3">
      <c r="A72" s="41">
        <v>3</v>
      </c>
      <c r="B72" s="45" t="s">
        <v>136</v>
      </c>
      <c r="C72" s="48" t="s">
        <v>47</v>
      </c>
      <c r="D72" s="42" t="s">
        <v>11</v>
      </c>
      <c r="E72" s="46" t="s">
        <v>121</v>
      </c>
      <c r="F72" s="46" t="s">
        <v>83</v>
      </c>
      <c r="G72" s="56" t="s">
        <v>75</v>
      </c>
      <c r="H72" s="47"/>
    </row>
    <row r="73" spans="1:18" s="20" customFormat="1" ht="14.4" customHeight="1" x14ac:dyDescent="0.3">
      <c r="A73" s="41">
        <v>3</v>
      </c>
      <c r="B73" s="45" t="s">
        <v>181</v>
      </c>
      <c r="C73" s="48" t="s">
        <v>47</v>
      </c>
      <c r="D73" s="42" t="s">
        <v>10</v>
      </c>
      <c r="E73" s="46" t="s">
        <v>179</v>
      </c>
      <c r="F73" s="46"/>
      <c r="G73" s="56" t="s">
        <v>75</v>
      </c>
      <c r="H73" s="47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s="20" customFormat="1" ht="14.4" customHeight="1" x14ac:dyDescent="0.3">
      <c r="A74" s="41">
        <v>4</v>
      </c>
      <c r="B74" s="45" t="s">
        <v>194</v>
      </c>
      <c r="C74" s="48" t="s">
        <v>47</v>
      </c>
      <c r="D74" s="42" t="s">
        <v>10</v>
      </c>
      <c r="E74" s="46" t="s">
        <v>195</v>
      </c>
      <c r="F74" s="46"/>
      <c r="G74" s="56" t="s">
        <v>75</v>
      </c>
      <c r="H74" s="47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s="20" customFormat="1" ht="14.4" customHeight="1" x14ac:dyDescent="0.3">
      <c r="A75" s="58"/>
      <c r="C75" s="59"/>
      <c r="D75" s="60"/>
      <c r="E75" s="61"/>
      <c r="F75" s="61"/>
      <c r="G75" s="62"/>
      <c r="H75" s="47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s="20" customFormat="1" ht="14.4" customHeight="1" x14ac:dyDescent="0.3">
      <c r="A76" s="41">
        <v>1</v>
      </c>
      <c r="B76" s="45" t="s">
        <v>133</v>
      </c>
      <c r="C76" s="48" t="s">
        <v>48</v>
      </c>
      <c r="D76" s="42" t="s">
        <v>11</v>
      </c>
      <c r="E76" s="46" t="s">
        <v>121</v>
      </c>
      <c r="F76" s="46" t="s">
        <v>83</v>
      </c>
      <c r="G76" s="56" t="s">
        <v>75</v>
      </c>
      <c r="H76" s="47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s="20" customFormat="1" ht="14.4" customHeight="1" x14ac:dyDescent="0.3">
      <c r="A77" s="58"/>
      <c r="C77" s="59"/>
      <c r="D77" s="60"/>
      <c r="E77" s="61"/>
      <c r="F77" s="61"/>
      <c r="G77" s="62"/>
      <c r="H77" s="47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s="20" customFormat="1" ht="14.4" customHeight="1" x14ac:dyDescent="0.3">
      <c r="A78" s="41">
        <v>1</v>
      </c>
      <c r="B78" s="45" t="s">
        <v>132</v>
      </c>
      <c r="C78" s="48" t="s">
        <v>49</v>
      </c>
      <c r="D78" s="42" t="s">
        <v>11</v>
      </c>
      <c r="E78" s="46" t="s">
        <v>121</v>
      </c>
      <c r="F78" s="46" t="s">
        <v>83</v>
      </c>
      <c r="G78" s="56" t="s">
        <v>75</v>
      </c>
      <c r="H78" s="47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s="20" customFormat="1" ht="14.4" customHeight="1" x14ac:dyDescent="0.3">
      <c r="A79" s="58"/>
      <c r="C79" s="59"/>
      <c r="D79" s="60"/>
      <c r="E79" s="61"/>
      <c r="F79" s="61"/>
      <c r="G79" s="62"/>
      <c r="H79" s="47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s="20" customFormat="1" ht="14.4" customHeight="1" x14ac:dyDescent="0.3">
      <c r="A80" s="41">
        <v>1</v>
      </c>
      <c r="B80" s="45" t="s">
        <v>141</v>
      </c>
      <c r="C80" s="48" t="s">
        <v>50</v>
      </c>
      <c r="D80" s="42" t="s">
        <v>11</v>
      </c>
      <c r="E80" s="46" t="s">
        <v>121</v>
      </c>
      <c r="F80" s="46" t="s">
        <v>83</v>
      </c>
      <c r="G80" s="56" t="s">
        <v>75</v>
      </c>
      <c r="H80" s="47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s="20" customFormat="1" ht="14.4" customHeight="1" x14ac:dyDescent="0.3">
      <c r="A81" s="58"/>
      <c r="C81" s="59"/>
      <c r="D81" s="60"/>
      <c r="E81" s="61"/>
      <c r="F81" s="61"/>
      <c r="G81" s="62"/>
      <c r="H81" s="47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s="20" customFormat="1" ht="14.4" customHeight="1" x14ac:dyDescent="0.3">
      <c r="A82" s="41">
        <v>1</v>
      </c>
      <c r="B82" s="45" t="s">
        <v>142</v>
      </c>
      <c r="C82" s="48" t="s">
        <v>51</v>
      </c>
      <c r="D82" s="42" t="s">
        <v>11</v>
      </c>
      <c r="E82" s="46" t="s">
        <v>121</v>
      </c>
      <c r="F82" s="46" t="s">
        <v>83</v>
      </c>
      <c r="G82" s="56" t="s">
        <v>75</v>
      </c>
      <c r="H82" s="47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s="20" customFormat="1" ht="14.4" customHeight="1" x14ac:dyDescent="0.3">
      <c r="A83" s="39">
        <v>2</v>
      </c>
      <c r="B83" s="40" t="s">
        <v>143</v>
      </c>
      <c r="C83" s="41" t="s">
        <v>51</v>
      </c>
      <c r="D83" s="42" t="s">
        <v>11</v>
      </c>
      <c r="E83" s="43" t="s">
        <v>121</v>
      </c>
      <c r="F83" s="43" t="s">
        <v>83</v>
      </c>
      <c r="G83" s="56" t="s">
        <v>75</v>
      </c>
      <c r="H83" s="47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s="20" customFormat="1" ht="14.4" customHeight="1" x14ac:dyDescent="0.3">
      <c r="A84" s="39">
        <v>3</v>
      </c>
      <c r="B84" s="40" t="s">
        <v>150</v>
      </c>
      <c r="C84" s="41" t="s">
        <v>51</v>
      </c>
      <c r="D84" s="42" t="s">
        <v>11</v>
      </c>
      <c r="E84" s="43" t="s">
        <v>121</v>
      </c>
      <c r="F84" s="43" t="s">
        <v>83</v>
      </c>
      <c r="G84" s="56" t="s">
        <v>75</v>
      </c>
      <c r="H84" s="47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s="20" customFormat="1" ht="14.4" customHeight="1" x14ac:dyDescent="0.3">
      <c r="A85" s="39">
        <v>4</v>
      </c>
      <c r="B85" s="40" t="s">
        <v>162</v>
      </c>
      <c r="C85" s="41" t="s">
        <v>51</v>
      </c>
      <c r="D85" s="42" t="s">
        <v>11</v>
      </c>
      <c r="E85" s="43" t="s">
        <v>121</v>
      </c>
      <c r="F85" s="43" t="s">
        <v>83</v>
      </c>
      <c r="G85" s="56" t="s">
        <v>75</v>
      </c>
      <c r="H85" s="47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x14ac:dyDescent="0.3">
      <c r="A86" s="41">
        <v>5</v>
      </c>
      <c r="B86" s="40" t="s">
        <v>190</v>
      </c>
      <c r="C86" s="41" t="s">
        <v>51</v>
      </c>
      <c r="D86" s="42" t="s">
        <v>10</v>
      </c>
      <c r="E86" s="43" t="s">
        <v>187</v>
      </c>
      <c r="F86" s="43"/>
      <c r="G86" s="46" t="s">
        <v>75</v>
      </c>
      <c r="H86" s="45"/>
    </row>
    <row r="87" spans="1:18" x14ac:dyDescent="0.3">
      <c r="A87" s="58"/>
      <c r="B87" s="20"/>
      <c r="C87" s="59"/>
      <c r="D87" s="60"/>
      <c r="E87" s="61"/>
      <c r="F87" s="61"/>
      <c r="G87" s="62"/>
      <c r="H87" s="45"/>
    </row>
    <row r="88" spans="1:18" x14ac:dyDescent="0.3">
      <c r="A88" s="41">
        <v>1</v>
      </c>
      <c r="B88" s="40" t="s">
        <v>117</v>
      </c>
      <c r="C88" s="41" t="s">
        <v>52</v>
      </c>
      <c r="D88" s="42" t="s">
        <v>109</v>
      </c>
      <c r="E88" s="43" t="s">
        <v>90</v>
      </c>
      <c r="F88" s="43"/>
      <c r="G88" s="46" t="s">
        <v>92</v>
      </c>
      <c r="H88" s="45"/>
    </row>
    <row r="89" spans="1:18" x14ac:dyDescent="0.3">
      <c r="A89" s="41">
        <v>2</v>
      </c>
      <c r="B89" s="40" t="s">
        <v>117</v>
      </c>
      <c r="C89" s="41" t="s">
        <v>52</v>
      </c>
      <c r="D89" s="42" t="s">
        <v>11</v>
      </c>
      <c r="E89" s="43" t="s">
        <v>121</v>
      </c>
      <c r="F89" s="43" t="s">
        <v>83</v>
      </c>
      <c r="G89" s="46" t="s">
        <v>75</v>
      </c>
      <c r="H89" s="45"/>
    </row>
    <row r="90" spans="1:18" x14ac:dyDescent="0.3">
      <c r="A90" s="41">
        <v>3</v>
      </c>
      <c r="B90" s="40" t="s">
        <v>152</v>
      </c>
      <c r="C90" s="41" t="s">
        <v>52</v>
      </c>
      <c r="D90" s="42" t="s">
        <v>11</v>
      </c>
      <c r="E90" s="43" t="s">
        <v>121</v>
      </c>
      <c r="F90" s="43" t="s">
        <v>83</v>
      </c>
      <c r="G90" s="46" t="s">
        <v>75</v>
      </c>
      <c r="H90" s="45"/>
    </row>
    <row r="91" spans="1:18" x14ac:dyDescent="0.3">
      <c r="A91" s="41">
        <v>4</v>
      </c>
      <c r="B91" s="40" t="s">
        <v>159</v>
      </c>
      <c r="C91" s="41" t="s">
        <v>52</v>
      </c>
      <c r="D91" s="42" t="s">
        <v>11</v>
      </c>
      <c r="E91" s="43" t="s">
        <v>121</v>
      </c>
      <c r="F91" s="43" t="s">
        <v>83</v>
      </c>
      <c r="G91" s="46" t="s">
        <v>75</v>
      </c>
      <c r="H91" s="45"/>
    </row>
    <row r="92" spans="1:18" x14ac:dyDescent="0.3">
      <c r="A92" s="39">
        <v>5</v>
      </c>
      <c r="B92" s="40" t="s">
        <v>161</v>
      </c>
      <c r="C92" s="41" t="s">
        <v>52</v>
      </c>
      <c r="D92" s="42" t="s">
        <v>11</v>
      </c>
      <c r="E92" s="43" t="s">
        <v>121</v>
      </c>
      <c r="F92" s="43" t="s">
        <v>83</v>
      </c>
      <c r="G92" s="46" t="s">
        <v>75</v>
      </c>
      <c r="H92" s="45"/>
    </row>
    <row r="93" spans="1:18" x14ac:dyDescent="0.3">
      <c r="A93" s="39">
        <v>6</v>
      </c>
      <c r="B93" s="40" t="s">
        <v>180</v>
      </c>
      <c r="C93" s="41" t="s">
        <v>52</v>
      </c>
      <c r="D93" s="42" t="s">
        <v>10</v>
      </c>
      <c r="E93" s="43" t="s">
        <v>165</v>
      </c>
      <c r="F93" s="43"/>
      <c r="G93" s="43" t="s">
        <v>75</v>
      </c>
      <c r="H93" s="40"/>
    </row>
    <row r="94" spans="1:18" x14ac:dyDescent="0.3">
      <c r="A94" s="41">
        <v>7</v>
      </c>
      <c r="B94" s="40" t="s">
        <v>191</v>
      </c>
      <c r="C94" s="41" t="s">
        <v>52</v>
      </c>
      <c r="D94" s="42" t="s">
        <v>10</v>
      </c>
      <c r="E94" s="43" t="s">
        <v>187</v>
      </c>
      <c r="F94" s="43" t="s">
        <v>174</v>
      </c>
      <c r="G94" s="43" t="s">
        <v>75</v>
      </c>
      <c r="H94" s="40"/>
    </row>
    <row r="95" spans="1:18" x14ac:dyDescent="0.3">
      <c r="A95" s="58"/>
      <c r="B95" s="20"/>
      <c r="C95" s="59"/>
      <c r="D95" s="60"/>
      <c r="E95" s="61"/>
      <c r="F95" s="61"/>
      <c r="G95" s="62"/>
      <c r="H95" s="40"/>
    </row>
    <row r="96" spans="1:18" x14ac:dyDescent="0.3">
      <c r="A96" s="39">
        <v>1</v>
      </c>
      <c r="B96" s="40" t="s">
        <v>192</v>
      </c>
      <c r="C96" s="41" t="s">
        <v>53</v>
      </c>
      <c r="D96" s="42" t="s">
        <v>10</v>
      </c>
      <c r="E96" s="43" t="s">
        <v>193</v>
      </c>
      <c r="F96" s="43" t="s">
        <v>174</v>
      </c>
      <c r="G96" s="43" t="s">
        <v>75</v>
      </c>
      <c r="H96" s="40"/>
    </row>
    <row r="97" spans="1:8" x14ac:dyDescent="0.3">
      <c r="A97" s="58"/>
      <c r="B97" s="20"/>
      <c r="C97" s="59"/>
      <c r="D97" s="60"/>
      <c r="E97" s="61"/>
      <c r="F97" s="61"/>
      <c r="G97" s="62"/>
      <c r="H97" s="40"/>
    </row>
    <row r="98" spans="1:8" x14ac:dyDescent="0.3">
      <c r="A98" s="41">
        <v>1</v>
      </c>
      <c r="B98" s="44" t="s">
        <v>119</v>
      </c>
      <c r="C98" s="46" t="s">
        <v>54</v>
      </c>
      <c r="D98" s="42" t="s">
        <v>109</v>
      </c>
      <c r="E98" s="46" t="s">
        <v>90</v>
      </c>
      <c r="F98" s="43"/>
      <c r="G98" s="43" t="s">
        <v>92</v>
      </c>
      <c r="H98" s="40"/>
    </row>
    <row r="99" spans="1:8" x14ac:dyDescent="0.3">
      <c r="A99" s="58"/>
      <c r="B99" s="20"/>
      <c r="C99" s="59"/>
      <c r="D99" s="60"/>
      <c r="E99" s="61"/>
      <c r="F99" s="61"/>
      <c r="G99" s="62"/>
      <c r="H99" s="40"/>
    </row>
    <row r="100" spans="1:8" x14ac:dyDescent="0.3">
      <c r="A100" s="41">
        <v>1</v>
      </c>
      <c r="B100" s="44" t="s">
        <v>72</v>
      </c>
      <c r="C100" s="46" t="s">
        <v>55</v>
      </c>
      <c r="D100" s="42" t="s">
        <v>11</v>
      </c>
      <c r="E100" s="46" t="s">
        <v>73</v>
      </c>
      <c r="F100" s="43" t="s">
        <v>74</v>
      </c>
      <c r="G100" s="43" t="s">
        <v>75</v>
      </c>
      <c r="H100" s="40"/>
    </row>
    <row r="101" spans="1:8" x14ac:dyDescent="0.3">
      <c r="A101" s="41">
        <v>2</v>
      </c>
      <c r="B101" s="44" t="s">
        <v>118</v>
      </c>
      <c r="C101" s="46" t="s">
        <v>55</v>
      </c>
      <c r="D101" s="42" t="s">
        <v>109</v>
      </c>
      <c r="E101" s="46" t="s">
        <v>90</v>
      </c>
      <c r="F101" s="43"/>
      <c r="G101" s="43" t="s">
        <v>92</v>
      </c>
      <c r="H101" s="40"/>
    </row>
    <row r="102" spans="1:8" x14ac:dyDescent="0.3">
      <c r="A102" s="39">
        <v>3</v>
      </c>
      <c r="B102" s="40" t="s">
        <v>139</v>
      </c>
      <c r="C102" s="41" t="s">
        <v>55</v>
      </c>
      <c r="D102" s="42" t="s">
        <v>11</v>
      </c>
      <c r="E102" s="43" t="s">
        <v>121</v>
      </c>
      <c r="F102" s="43" t="s">
        <v>83</v>
      </c>
      <c r="G102" s="43" t="s">
        <v>75</v>
      </c>
      <c r="H102" s="40"/>
    </row>
    <row r="103" spans="1:8" x14ac:dyDescent="0.3">
      <c r="A103" s="41">
        <v>4</v>
      </c>
      <c r="B103" s="44" t="s">
        <v>140</v>
      </c>
      <c r="C103" s="46" t="s">
        <v>55</v>
      </c>
      <c r="D103" s="42" t="s">
        <v>11</v>
      </c>
      <c r="E103" s="46" t="s">
        <v>121</v>
      </c>
      <c r="F103" s="43" t="s">
        <v>83</v>
      </c>
      <c r="G103" s="43" t="s">
        <v>75</v>
      </c>
      <c r="H103" s="40"/>
    </row>
    <row r="104" spans="1:8" x14ac:dyDescent="0.3">
      <c r="A104" s="41">
        <v>5</v>
      </c>
      <c r="B104" s="44" t="s">
        <v>72</v>
      </c>
      <c r="C104" s="46" t="s">
        <v>55</v>
      </c>
      <c r="D104" s="42" t="s">
        <v>11</v>
      </c>
      <c r="E104" s="46" t="s">
        <v>121</v>
      </c>
      <c r="F104" s="43" t="s">
        <v>83</v>
      </c>
      <c r="G104" s="43" t="s">
        <v>75</v>
      </c>
      <c r="H104" s="40"/>
    </row>
    <row r="105" spans="1:8" x14ac:dyDescent="0.3">
      <c r="A105" s="41">
        <v>6</v>
      </c>
      <c r="B105" s="44" t="s">
        <v>118</v>
      </c>
      <c r="C105" s="46" t="s">
        <v>55</v>
      </c>
      <c r="D105" s="42" t="s">
        <v>10</v>
      </c>
      <c r="E105" s="46" t="s">
        <v>176</v>
      </c>
      <c r="F105" s="43"/>
      <c r="G105" s="43" t="s">
        <v>75</v>
      </c>
      <c r="H105" s="40"/>
    </row>
    <row r="106" spans="1:8" x14ac:dyDescent="0.3">
      <c r="A106" s="41">
        <v>7</v>
      </c>
      <c r="B106" s="44" t="s">
        <v>182</v>
      </c>
      <c r="C106" s="46" t="s">
        <v>55</v>
      </c>
      <c r="D106" s="42" t="s">
        <v>10</v>
      </c>
      <c r="E106" s="46" t="s">
        <v>183</v>
      </c>
      <c r="F106" s="43"/>
      <c r="G106" s="43" t="s">
        <v>75</v>
      </c>
      <c r="H106" s="40"/>
    </row>
    <row r="107" spans="1:8" x14ac:dyDescent="0.3">
      <c r="A107" s="41">
        <v>8</v>
      </c>
      <c r="B107" s="40" t="s">
        <v>189</v>
      </c>
      <c r="C107" s="48" t="s">
        <v>55</v>
      </c>
      <c r="D107" s="45" t="s">
        <v>10</v>
      </c>
      <c r="E107" s="46" t="s">
        <v>187</v>
      </c>
      <c r="F107" s="46"/>
      <c r="G107" s="43" t="s">
        <v>75</v>
      </c>
      <c r="H107" s="40"/>
    </row>
    <row r="108" spans="1:8" x14ac:dyDescent="0.3">
      <c r="A108" s="58"/>
      <c r="B108" s="20"/>
      <c r="C108" s="59"/>
      <c r="D108" s="60"/>
      <c r="E108" s="61"/>
      <c r="F108" s="61"/>
      <c r="G108" s="62"/>
      <c r="H108" s="40"/>
    </row>
    <row r="109" spans="1:8" x14ac:dyDescent="0.3">
      <c r="A109" s="41">
        <v>1</v>
      </c>
      <c r="B109" s="40" t="s">
        <v>76</v>
      </c>
      <c r="C109" s="48" t="s">
        <v>56</v>
      </c>
      <c r="D109" s="45" t="s">
        <v>11</v>
      </c>
      <c r="E109" s="46" t="s">
        <v>77</v>
      </c>
      <c r="F109" s="46" t="s">
        <v>78</v>
      </c>
      <c r="G109" s="43" t="s">
        <v>75</v>
      </c>
      <c r="H109" s="40"/>
    </row>
    <row r="110" spans="1:8" x14ac:dyDescent="0.3">
      <c r="A110" s="41">
        <v>2</v>
      </c>
      <c r="B110" s="40" t="s">
        <v>146</v>
      </c>
      <c r="C110" s="48" t="s">
        <v>56</v>
      </c>
      <c r="D110" s="45" t="s">
        <v>11</v>
      </c>
      <c r="E110" s="46" t="s">
        <v>121</v>
      </c>
      <c r="F110" s="46" t="s">
        <v>83</v>
      </c>
      <c r="G110" s="43" t="s">
        <v>75</v>
      </c>
      <c r="H110" s="40"/>
    </row>
    <row r="111" spans="1:8" x14ac:dyDescent="0.3">
      <c r="A111" s="39">
        <v>3</v>
      </c>
      <c r="B111" s="40" t="s">
        <v>147</v>
      </c>
      <c r="C111" s="41" t="s">
        <v>56</v>
      </c>
      <c r="D111" s="42" t="s">
        <v>11</v>
      </c>
      <c r="E111" s="43" t="s">
        <v>121</v>
      </c>
      <c r="F111" s="46" t="s">
        <v>83</v>
      </c>
      <c r="G111" s="43" t="s">
        <v>75</v>
      </c>
      <c r="H111" s="40"/>
    </row>
    <row r="112" spans="1:8" x14ac:dyDescent="0.3">
      <c r="A112" s="41">
        <v>4</v>
      </c>
      <c r="B112" s="44" t="s">
        <v>151</v>
      </c>
      <c r="C112" s="41" t="s">
        <v>56</v>
      </c>
      <c r="D112" s="42" t="s">
        <v>11</v>
      </c>
      <c r="E112" s="46" t="s">
        <v>121</v>
      </c>
      <c r="F112" s="43" t="s">
        <v>83</v>
      </c>
      <c r="G112" s="43" t="s">
        <v>75</v>
      </c>
      <c r="H112" s="40"/>
    </row>
    <row r="113" spans="1:8" x14ac:dyDescent="0.3">
      <c r="A113" s="41">
        <v>5</v>
      </c>
      <c r="B113" s="44" t="s">
        <v>154</v>
      </c>
      <c r="C113" s="41" t="s">
        <v>56</v>
      </c>
      <c r="D113" s="42" t="s">
        <v>11</v>
      </c>
      <c r="E113" s="46" t="s">
        <v>121</v>
      </c>
      <c r="F113" s="43" t="s">
        <v>83</v>
      </c>
      <c r="G113" s="43" t="s">
        <v>75</v>
      </c>
      <c r="H113" s="40"/>
    </row>
    <row r="114" spans="1:8" x14ac:dyDescent="0.3">
      <c r="A114" s="41">
        <v>6</v>
      </c>
      <c r="B114" s="44" t="s">
        <v>155</v>
      </c>
      <c r="C114" s="41" t="s">
        <v>56</v>
      </c>
      <c r="D114" s="42" t="s">
        <v>11</v>
      </c>
      <c r="E114" s="46" t="s">
        <v>121</v>
      </c>
      <c r="F114" s="43" t="s">
        <v>83</v>
      </c>
      <c r="G114" s="43" t="s">
        <v>75</v>
      </c>
      <c r="H114" s="40"/>
    </row>
    <row r="115" spans="1:8" x14ac:dyDescent="0.3">
      <c r="A115" s="39">
        <v>7</v>
      </c>
      <c r="B115" s="40" t="s">
        <v>156</v>
      </c>
      <c r="C115" s="41" t="s">
        <v>56</v>
      </c>
      <c r="D115" s="42" t="s">
        <v>11</v>
      </c>
      <c r="E115" s="43" t="s">
        <v>121</v>
      </c>
      <c r="F115" s="43" t="s">
        <v>83</v>
      </c>
      <c r="G115" s="43" t="s">
        <v>75</v>
      </c>
      <c r="H115" s="40"/>
    </row>
    <row r="116" spans="1:8" x14ac:dyDescent="0.3">
      <c r="A116" s="41">
        <v>8</v>
      </c>
      <c r="B116" s="44" t="s">
        <v>163</v>
      </c>
      <c r="C116" s="46" t="s">
        <v>56</v>
      </c>
      <c r="D116" s="42" t="s">
        <v>11</v>
      </c>
      <c r="E116" s="46" t="s">
        <v>121</v>
      </c>
      <c r="F116" s="43" t="s">
        <v>83</v>
      </c>
      <c r="G116" s="43" t="s">
        <v>75</v>
      </c>
      <c r="H116" s="40"/>
    </row>
    <row r="117" spans="1:8" x14ac:dyDescent="0.3">
      <c r="A117" s="41">
        <v>9</v>
      </c>
      <c r="B117" s="44" t="s">
        <v>147</v>
      </c>
      <c r="C117" s="46" t="s">
        <v>56</v>
      </c>
      <c r="D117" s="42" t="s">
        <v>10</v>
      </c>
      <c r="E117" s="46" t="s">
        <v>175</v>
      </c>
      <c r="F117" s="43"/>
      <c r="G117" s="43" t="s">
        <v>75</v>
      </c>
      <c r="H117" s="40"/>
    </row>
    <row r="118" spans="1:8" x14ac:dyDescent="0.3">
      <c r="A118" s="39">
        <v>10</v>
      </c>
      <c r="B118" s="40" t="s">
        <v>178</v>
      </c>
      <c r="C118" s="46" t="s">
        <v>56</v>
      </c>
      <c r="D118" s="42" t="s">
        <v>10</v>
      </c>
      <c r="E118" s="43" t="s">
        <v>179</v>
      </c>
      <c r="F118" s="43"/>
      <c r="G118" s="43" t="s">
        <v>75</v>
      </c>
      <c r="H118" s="40"/>
    </row>
    <row r="119" spans="1:8" x14ac:dyDescent="0.3">
      <c r="A119" s="39">
        <v>11</v>
      </c>
      <c r="B119" s="40" t="s">
        <v>196</v>
      </c>
      <c r="C119" s="46" t="s">
        <v>56</v>
      </c>
      <c r="D119" s="42" t="s">
        <v>10</v>
      </c>
      <c r="E119" s="43" t="s">
        <v>195</v>
      </c>
      <c r="F119" s="43" t="s">
        <v>174</v>
      </c>
      <c r="G119" s="43" t="s">
        <v>75</v>
      </c>
      <c r="H119" s="40"/>
    </row>
    <row r="120" spans="1:8" x14ac:dyDescent="0.3">
      <c r="A120" s="58"/>
      <c r="B120" s="20"/>
      <c r="C120" s="59"/>
      <c r="D120" s="60"/>
      <c r="E120" s="61"/>
      <c r="F120" s="61"/>
      <c r="G120" s="62"/>
      <c r="H120" s="40"/>
    </row>
    <row r="121" spans="1:8" x14ac:dyDescent="0.3">
      <c r="A121" s="41">
        <v>1</v>
      </c>
      <c r="B121" s="45" t="s">
        <v>111</v>
      </c>
      <c r="C121" s="46" t="s">
        <v>57</v>
      </c>
      <c r="D121" s="42" t="s">
        <v>109</v>
      </c>
      <c r="E121" s="46" t="s">
        <v>90</v>
      </c>
      <c r="F121" s="43"/>
      <c r="G121" s="43" t="s">
        <v>92</v>
      </c>
      <c r="H121" s="40"/>
    </row>
    <row r="122" spans="1:8" x14ac:dyDescent="0.3">
      <c r="A122" s="41">
        <v>2</v>
      </c>
      <c r="B122" s="45" t="s">
        <v>145</v>
      </c>
      <c r="C122" s="48" t="s">
        <v>57</v>
      </c>
      <c r="D122" s="42" t="s">
        <v>11</v>
      </c>
      <c r="E122" s="46" t="s">
        <v>121</v>
      </c>
      <c r="F122" s="43" t="s">
        <v>83</v>
      </c>
      <c r="G122" s="43" t="s">
        <v>75</v>
      </c>
      <c r="H122" s="40"/>
    </row>
    <row r="123" spans="1:8" x14ac:dyDescent="0.3">
      <c r="A123" s="41">
        <v>3</v>
      </c>
      <c r="B123" s="45" t="s">
        <v>82</v>
      </c>
      <c r="C123" s="48" t="s">
        <v>57</v>
      </c>
      <c r="D123" s="42" t="s">
        <v>11</v>
      </c>
      <c r="E123" s="46" t="s">
        <v>121</v>
      </c>
      <c r="F123" s="43" t="s">
        <v>83</v>
      </c>
      <c r="G123" s="43" t="s">
        <v>75</v>
      </c>
      <c r="H123" s="40"/>
    </row>
    <row r="124" spans="1:8" x14ac:dyDescent="0.3">
      <c r="A124" s="41">
        <v>4</v>
      </c>
      <c r="B124" s="45" t="s">
        <v>158</v>
      </c>
      <c r="C124" s="48" t="s">
        <v>57</v>
      </c>
      <c r="D124" s="42" t="s">
        <v>11</v>
      </c>
      <c r="E124" s="46" t="s">
        <v>121</v>
      </c>
      <c r="F124" s="43" t="s">
        <v>83</v>
      </c>
      <c r="G124" s="43" t="s">
        <v>75</v>
      </c>
      <c r="H124" s="40"/>
    </row>
    <row r="125" spans="1:8" x14ac:dyDescent="0.3">
      <c r="A125" s="39">
        <v>5</v>
      </c>
      <c r="B125" s="40" t="s">
        <v>160</v>
      </c>
      <c r="C125" s="41" t="s">
        <v>57</v>
      </c>
      <c r="D125" s="42" t="s">
        <v>11</v>
      </c>
      <c r="E125" s="43" t="s">
        <v>121</v>
      </c>
      <c r="F125" s="43" t="s">
        <v>83</v>
      </c>
      <c r="G125" s="43" t="s">
        <v>75</v>
      </c>
      <c r="H125" s="40"/>
    </row>
    <row r="126" spans="1:8" x14ac:dyDescent="0.3">
      <c r="A126" s="41">
        <v>6</v>
      </c>
      <c r="B126" s="45" t="s">
        <v>160</v>
      </c>
      <c r="C126" s="41" t="s">
        <v>57</v>
      </c>
      <c r="D126" s="42" t="s">
        <v>10</v>
      </c>
      <c r="E126" s="46" t="s">
        <v>187</v>
      </c>
      <c r="F126" s="43" t="s">
        <v>174</v>
      </c>
      <c r="G126" s="43" t="s">
        <v>75</v>
      </c>
      <c r="H126" s="40"/>
    </row>
    <row r="127" spans="1:8" x14ac:dyDescent="0.3">
      <c r="A127" s="58"/>
      <c r="B127" s="20"/>
      <c r="C127" s="59"/>
      <c r="D127" s="60"/>
      <c r="E127" s="61"/>
      <c r="F127" s="61"/>
      <c r="G127" s="62"/>
      <c r="H127" s="40"/>
    </row>
    <row r="128" spans="1:8" x14ac:dyDescent="0.3">
      <c r="A128" s="41">
        <v>1</v>
      </c>
      <c r="B128" s="45" t="s">
        <v>188</v>
      </c>
      <c r="C128" s="41" t="s">
        <v>58</v>
      </c>
      <c r="D128" s="42" t="s">
        <v>10</v>
      </c>
      <c r="E128" s="46" t="s">
        <v>187</v>
      </c>
      <c r="F128" s="43" t="s">
        <v>174</v>
      </c>
      <c r="G128" s="43" t="s">
        <v>75</v>
      </c>
      <c r="H128" s="40"/>
    </row>
    <row r="129" spans="1:8" x14ac:dyDescent="0.3">
      <c r="A129" s="58"/>
      <c r="B129" s="20"/>
      <c r="C129" s="59"/>
      <c r="D129" s="60"/>
      <c r="E129" s="61"/>
      <c r="F129" s="61"/>
      <c r="G129" s="62"/>
      <c r="H129" s="40"/>
    </row>
    <row r="130" spans="1:8" ht="15" customHeight="1" x14ac:dyDescent="0.3">
      <c r="A130" s="41">
        <v>1</v>
      </c>
      <c r="B130" s="45" t="s">
        <v>144</v>
      </c>
      <c r="C130" s="48" t="s">
        <v>59</v>
      </c>
      <c r="D130" s="42" t="s">
        <v>11</v>
      </c>
      <c r="E130" s="46" t="s">
        <v>121</v>
      </c>
      <c r="F130" s="43" t="s">
        <v>83</v>
      </c>
      <c r="G130" s="43" t="s">
        <v>75</v>
      </c>
      <c r="H130" s="40"/>
    </row>
    <row r="131" spans="1:8" x14ac:dyDescent="0.3">
      <c r="A131" s="41">
        <v>2</v>
      </c>
      <c r="B131" s="45" t="s">
        <v>153</v>
      </c>
      <c r="C131" s="48" t="s">
        <v>59</v>
      </c>
      <c r="D131" s="42" t="s">
        <v>11</v>
      </c>
      <c r="E131" s="46" t="s">
        <v>121</v>
      </c>
      <c r="F131" s="43" t="s">
        <v>83</v>
      </c>
      <c r="G131" s="43" t="s">
        <v>75</v>
      </c>
      <c r="H131" s="40"/>
    </row>
    <row r="132" spans="1:8" x14ac:dyDescent="0.3">
      <c r="A132" s="41">
        <v>3</v>
      </c>
      <c r="B132" s="45" t="s">
        <v>157</v>
      </c>
      <c r="C132" s="48" t="s">
        <v>59</v>
      </c>
      <c r="D132" s="42" t="s">
        <v>11</v>
      </c>
      <c r="E132" s="46" t="s">
        <v>121</v>
      </c>
      <c r="F132" s="43" t="s">
        <v>83</v>
      </c>
      <c r="G132" s="43" t="s">
        <v>75</v>
      </c>
      <c r="H132" s="40"/>
    </row>
    <row r="133" spans="1:8" x14ac:dyDescent="0.3">
      <c r="A133" s="41"/>
      <c r="B133" s="45"/>
      <c r="C133" s="48"/>
      <c r="D133" s="42"/>
      <c r="E133" s="46"/>
      <c r="F133" s="43"/>
      <c r="G133" s="43"/>
      <c r="H133" s="40"/>
    </row>
    <row r="134" spans="1:8" x14ac:dyDescent="0.3">
      <c r="A134" s="39"/>
      <c r="B134" s="40"/>
      <c r="C134" s="41"/>
      <c r="D134" s="42"/>
      <c r="E134" s="43"/>
      <c r="F134" s="43"/>
      <c r="G134" s="43"/>
      <c r="H134" s="40"/>
    </row>
    <row r="135" spans="1:8" x14ac:dyDescent="0.3">
      <c r="A135" s="39"/>
      <c r="B135" s="40"/>
      <c r="C135" s="41"/>
      <c r="D135" s="42"/>
      <c r="E135" s="43"/>
      <c r="F135" s="43"/>
      <c r="G135" s="43"/>
      <c r="H135" s="40"/>
    </row>
    <row r="136" spans="1:8" x14ac:dyDescent="0.3">
      <c r="A136" s="39"/>
      <c r="B136" s="40"/>
      <c r="C136" s="41"/>
      <c r="D136" s="42"/>
      <c r="E136" s="43"/>
      <c r="F136" s="43"/>
      <c r="G136" s="43"/>
      <c r="H136" s="40"/>
    </row>
    <row r="137" spans="1:8" x14ac:dyDescent="0.3">
      <c r="A137" s="41"/>
      <c r="B137" s="45"/>
      <c r="C137" s="48"/>
      <c r="D137" s="42"/>
      <c r="E137" s="46"/>
      <c r="F137" s="43"/>
      <c r="G137" s="43"/>
      <c r="H137" s="40"/>
    </row>
    <row r="138" spans="1:8" x14ac:dyDescent="0.3">
      <c r="A138" s="41"/>
      <c r="B138" s="45"/>
      <c r="C138" s="48"/>
      <c r="D138" s="42"/>
      <c r="E138" s="46"/>
      <c r="F138" s="43"/>
      <c r="G138" s="43"/>
      <c r="H138" s="40"/>
    </row>
    <row r="139" spans="1:8" x14ac:dyDescent="0.3">
      <c r="A139" s="41"/>
      <c r="B139" s="45"/>
      <c r="C139" s="48"/>
      <c r="D139" s="42"/>
      <c r="E139" s="46"/>
      <c r="F139" s="43"/>
      <c r="G139" s="43"/>
      <c r="H139" s="40"/>
    </row>
    <row r="140" spans="1:8" x14ac:dyDescent="0.3">
      <c r="A140" s="39"/>
      <c r="B140" s="40"/>
      <c r="C140" s="48"/>
      <c r="D140" s="42"/>
      <c r="E140" s="43"/>
      <c r="F140" s="43"/>
      <c r="G140" s="43"/>
      <c r="H140" s="40"/>
    </row>
    <row r="141" spans="1:8" x14ac:dyDescent="0.3">
      <c r="A141" s="39"/>
      <c r="B141" s="40"/>
      <c r="C141" s="48"/>
      <c r="D141" s="42"/>
      <c r="E141" s="43"/>
      <c r="F141" s="43"/>
      <c r="G141" s="43"/>
      <c r="H141" s="40"/>
    </row>
    <row r="142" spans="1:8" x14ac:dyDescent="0.3">
      <c r="A142" s="39"/>
      <c r="B142" s="40"/>
      <c r="C142" s="48"/>
      <c r="D142" s="42"/>
      <c r="E142" s="43"/>
      <c r="F142" s="43"/>
      <c r="G142" s="43"/>
      <c r="H142" s="40"/>
    </row>
    <row r="143" spans="1:8" x14ac:dyDescent="0.3">
      <c r="A143" s="41"/>
      <c r="B143" s="45"/>
      <c r="C143" s="48"/>
      <c r="D143" s="42"/>
      <c r="E143" s="46"/>
      <c r="F143" s="43"/>
      <c r="G143" s="43"/>
      <c r="H143" s="40"/>
    </row>
    <row r="144" spans="1:8" x14ac:dyDescent="0.3">
      <c r="A144" s="41"/>
      <c r="B144" s="45"/>
      <c r="C144" s="48"/>
      <c r="D144" s="42"/>
      <c r="E144" s="46"/>
      <c r="F144" s="43"/>
      <c r="G144" s="43"/>
      <c r="H144" s="40"/>
    </row>
    <row r="145" spans="1:8" x14ac:dyDescent="0.3">
      <c r="A145" s="41"/>
      <c r="B145" s="45"/>
      <c r="C145" s="48"/>
      <c r="D145" s="42"/>
      <c r="E145" s="46"/>
      <c r="F145" s="43"/>
      <c r="G145" s="43"/>
      <c r="H145" s="40"/>
    </row>
    <row r="146" spans="1:8" x14ac:dyDescent="0.3">
      <c r="A146" s="41"/>
      <c r="B146" s="45"/>
      <c r="C146" s="41"/>
      <c r="D146" s="42"/>
      <c r="E146" s="46"/>
      <c r="F146" s="43"/>
      <c r="G146" s="46"/>
      <c r="H146" s="40"/>
    </row>
    <row r="147" spans="1:8" x14ac:dyDescent="0.3">
      <c r="A147" s="41"/>
      <c r="B147" s="45"/>
      <c r="C147" s="48"/>
      <c r="D147" s="42"/>
      <c r="E147" s="46"/>
      <c r="F147" s="43"/>
      <c r="G147" s="46"/>
      <c r="H147" s="40"/>
    </row>
    <row r="148" spans="1:8" x14ac:dyDescent="0.3">
      <c r="A148" s="39"/>
      <c r="B148" s="40"/>
      <c r="C148" s="41"/>
      <c r="D148" s="42"/>
      <c r="E148" s="46"/>
      <c r="F148" s="43"/>
      <c r="G148" s="46"/>
      <c r="H148" s="40"/>
    </row>
    <row r="149" spans="1:8" x14ac:dyDescent="0.3">
      <c r="A149" s="41"/>
      <c r="B149" s="45"/>
      <c r="C149" s="41"/>
      <c r="D149" s="55"/>
      <c r="E149" s="46"/>
      <c r="F149" s="43"/>
      <c r="G149" s="46"/>
      <c r="H149" s="40"/>
    </row>
    <row r="150" spans="1:8" x14ac:dyDescent="0.3">
      <c r="A150" s="41"/>
      <c r="B150" s="45"/>
      <c r="C150" s="41"/>
      <c r="D150" s="55"/>
      <c r="E150" s="46"/>
      <c r="F150" s="43"/>
      <c r="G150" s="46"/>
      <c r="H150" s="40"/>
    </row>
    <row r="151" spans="1:8" x14ac:dyDescent="0.3">
      <c r="A151" s="41"/>
      <c r="B151" s="45"/>
      <c r="C151" s="41"/>
      <c r="D151" s="55"/>
      <c r="E151" s="46"/>
      <c r="F151" s="46"/>
      <c r="G151" s="43"/>
      <c r="H151" s="40"/>
    </row>
    <row r="152" spans="1:8" x14ac:dyDescent="0.3">
      <c r="A152" s="41"/>
      <c r="B152" s="45"/>
      <c r="C152" s="46"/>
      <c r="D152" s="55"/>
      <c r="E152" s="46"/>
      <c r="F152" s="46"/>
      <c r="G152" s="43"/>
      <c r="H152" s="40"/>
    </row>
    <row r="153" spans="1:8" x14ac:dyDescent="0.3">
      <c r="A153" s="41"/>
      <c r="B153" s="45"/>
      <c r="C153" s="46"/>
      <c r="D153" s="55"/>
      <c r="E153" s="46"/>
      <c r="F153" s="43"/>
      <c r="G153" s="43"/>
      <c r="H153" s="40"/>
    </row>
    <row r="154" spans="1:8" x14ac:dyDescent="0.3">
      <c r="A154" s="41"/>
      <c r="B154" s="45"/>
      <c r="C154" s="46"/>
      <c r="D154" s="55"/>
      <c r="E154" s="46"/>
      <c r="F154" s="43"/>
      <c r="G154" s="43"/>
      <c r="H154" s="40"/>
    </row>
    <row r="155" spans="1:8" x14ac:dyDescent="0.3">
      <c r="A155" s="41"/>
      <c r="B155" s="45"/>
      <c r="C155" s="46"/>
      <c r="D155" s="55"/>
      <c r="E155" s="46"/>
      <c r="F155" s="43"/>
      <c r="G155" s="43"/>
      <c r="H155" s="40"/>
    </row>
    <row r="156" spans="1:8" x14ac:dyDescent="0.3">
      <c r="A156" s="41"/>
      <c r="B156" s="45"/>
      <c r="C156" s="46"/>
      <c r="D156" s="55"/>
      <c r="E156" s="46"/>
      <c r="F156" s="43"/>
      <c r="G156" s="43"/>
      <c r="H156" s="40"/>
    </row>
    <row r="157" spans="1:8" x14ac:dyDescent="0.3">
      <c r="A157" s="41"/>
      <c r="B157" s="45"/>
      <c r="C157" s="46"/>
      <c r="D157" s="55"/>
      <c r="E157" s="46"/>
      <c r="F157" s="43"/>
      <c r="G157" s="43"/>
      <c r="H157" s="40"/>
    </row>
    <row r="158" spans="1:8" x14ac:dyDescent="0.3">
      <c r="A158" s="41"/>
      <c r="B158" s="45"/>
      <c r="C158" s="46"/>
      <c r="D158" s="55"/>
      <c r="E158" s="46"/>
      <c r="F158" s="43"/>
      <c r="G158" s="46"/>
      <c r="H158" s="40"/>
    </row>
    <row r="159" spans="1:8" x14ac:dyDescent="0.3">
      <c r="A159" s="41"/>
      <c r="B159" s="45"/>
      <c r="C159" s="46"/>
      <c r="D159" s="55"/>
      <c r="E159" s="46"/>
      <c r="F159" s="43"/>
      <c r="G159" s="46"/>
      <c r="H159" s="40"/>
    </row>
    <row r="160" spans="1:8" x14ac:dyDescent="0.3">
      <c r="A160" s="41"/>
      <c r="B160" s="45"/>
      <c r="C160" s="46"/>
      <c r="D160" s="55"/>
      <c r="E160" s="46"/>
      <c r="F160" s="43"/>
      <c r="G160" s="46"/>
      <c r="H160" s="40"/>
    </row>
    <row r="161" spans="1:8" x14ac:dyDescent="0.3">
      <c r="A161" s="41"/>
      <c r="B161" s="45"/>
      <c r="C161" s="46"/>
      <c r="D161" s="55"/>
      <c r="E161" s="46"/>
      <c r="F161" s="43"/>
      <c r="G161" s="46"/>
      <c r="H161" s="40"/>
    </row>
    <row r="162" spans="1:8" x14ac:dyDescent="0.3">
      <c r="A162" s="41"/>
      <c r="B162" s="45"/>
      <c r="C162" s="46"/>
      <c r="D162" s="55"/>
      <c r="E162" s="46"/>
      <c r="F162" s="43"/>
      <c r="G162" s="46"/>
      <c r="H162" s="40"/>
    </row>
    <row r="163" spans="1:8" x14ac:dyDescent="0.3">
      <c r="A163" s="41"/>
      <c r="B163" s="45"/>
      <c r="C163" s="46"/>
      <c r="D163" s="55"/>
      <c r="E163" s="46"/>
      <c r="F163" s="43"/>
      <c r="G163" s="46"/>
      <c r="H163" s="40"/>
    </row>
    <row r="164" spans="1:8" x14ac:dyDescent="0.3">
      <c r="A164" s="41"/>
      <c r="B164" s="45"/>
      <c r="C164" s="46"/>
      <c r="D164" s="55"/>
      <c r="E164" s="46"/>
      <c r="F164" s="43"/>
      <c r="G164" s="46"/>
      <c r="H164" s="40"/>
    </row>
    <row r="165" spans="1:8" x14ac:dyDescent="0.3">
      <c r="A165" s="41"/>
      <c r="B165" s="40"/>
      <c r="C165" s="43"/>
      <c r="D165" s="55"/>
      <c r="E165" s="43"/>
      <c r="F165" s="43"/>
      <c r="G165" s="46"/>
      <c r="H165" s="40"/>
    </row>
    <row r="166" spans="1:8" x14ac:dyDescent="0.3">
      <c r="A166" s="41"/>
      <c r="B166" s="45"/>
      <c r="C166" s="46"/>
      <c r="D166" s="55"/>
      <c r="E166" s="46"/>
      <c r="F166" s="43"/>
      <c r="G166" s="46"/>
      <c r="H166" s="40"/>
    </row>
    <row r="167" spans="1:8" x14ac:dyDescent="0.3">
      <c r="A167" s="41"/>
      <c r="B167" s="40"/>
      <c r="C167" s="43"/>
      <c r="D167" s="42"/>
      <c r="E167" s="43"/>
      <c r="F167" s="43"/>
      <c r="G167" s="46"/>
      <c r="H167" s="40"/>
    </row>
    <row r="168" spans="1:8" x14ac:dyDescent="0.3">
      <c r="A168" s="41"/>
      <c r="B168" s="40"/>
      <c r="C168" s="43"/>
      <c r="D168" s="42"/>
      <c r="E168" s="43"/>
      <c r="F168" s="43"/>
      <c r="G168" s="46"/>
      <c r="H168" s="40"/>
    </row>
    <row r="169" spans="1:8" x14ac:dyDescent="0.3">
      <c r="A169" s="41"/>
      <c r="B169" s="45"/>
      <c r="C169" s="46"/>
      <c r="D169" s="55"/>
      <c r="E169" s="46"/>
      <c r="F169" s="43"/>
      <c r="G169" s="46"/>
      <c r="H169" s="40"/>
    </row>
    <row r="170" spans="1:8" x14ac:dyDescent="0.3">
      <c r="A170" s="41"/>
      <c r="B170" s="40"/>
      <c r="C170" s="43"/>
      <c r="D170" s="42"/>
      <c r="E170" s="43"/>
      <c r="F170" s="43"/>
      <c r="G170" s="46"/>
      <c r="H170" s="40"/>
    </row>
    <row r="171" spans="1:8" x14ac:dyDescent="0.3">
      <c r="A171" s="41"/>
      <c r="B171" s="45"/>
      <c r="C171" s="46"/>
      <c r="D171" s="55"/>
      <c r="E171" s="46"/>
      <c r="F171" s="43"/>
      <c r="G171" s="46"/>
      <c r="H171" s="40"/>
    </row>
    <row r="172" spans="1:8" x14ac:dyDescent="0.3">
      <c r="A172" s="41"/>
      <c r="B172" s="40"/>
      <c r="C172" s="43"/>
      <c r="D172" s="42"/>
      <c r="E172" s="43"/>
      <c r="F172" s="43"/>
      <c r="G172" s="46"/>
      <c r="H172" s="40"/>
    </row>
    <row r="173" spans="1:8" x14ac:dyDescent="0.3">
      <c r="A173" s="41"/>
      <c r="B173" s="45"/>
      <c r="C173" s="46"/>
      <c r="D173" s="55"/>
      <c r="E173" s="46"/>
      <c r="F173" s="43"/>
      <c r="G173" s="46"/>
      <c r="H173" s="40"/>
    </row>
    <row r="174" spans="1:8" x14ac:dyDescent="0.3">
      <c r="A174" s="41"/>
      <c r="B174" s="45"/>
      <c r="C174" s="46"/>
      <c r="D174" s="55"/>
      <c r="E174" s="46"/>
      <c r="F174" s="43"/>
      <c r="G174" s="46"/>
      <c r="H174" s="40"/>
    </row>
    <row r="175" spans="1:8" x14ac:dyDescent="0.3">
      <c r="A175" s="41"/>
      <c r="B175" s="45"/>
      <c r="C175" s="46"/>
      <c r="D175" s="55"/>
      <c r="E175" s="46"/>
      <c r="F175" s="43"/>
      <c r="G175" s="46"/>
      <c r="H175" s="40"/>
    </row>
    <row r="176" spans="1:8" x14ac:dyDescent="0.3">
      <c r="A176" s="41"/>
      <c r="B176" s="45"/>
      <c r="C176" s="46"/>
      <c r="D176" s="55"/>
      <c r="E176" s="46"/>
      <c r="F176" s="43"/>
      <c r="G176" s="46"/>
      <c r="H176" s="40"/>
    </row>
    <row r="177" spans="1:8" x14ac:dyDescent="0.3">
      <c r="A177" s="41"/>
      <c r="B177" s="40"/>
      <c r="C177" s="43"/>
      <c r="D177" s="42"/>
      <c r="E177" s="43"/>
      <c r="F177" s="43"/>
      <c r="G177" s="46"/>
      <c r="H177" s="40"/>
    </row>
    <row r="178" spans="1:8" x14ac:dyDescent="0.3">
      <c r="A178" s="41"/>
      <c r="B178" s="40"/>
      <c r="C178" s="43"/>
      <c r="D178" s="42"/>
      <c r="E178" s="43"/>
      <c r="F178" s="43"/>
      <c r="G178" s="46"/>
      <c r="H178" s="40"/>
    </row>
    <row r="179" spans="1:8" ht="17.399999999999999" customHeight="1" x14ac:dyDescent="0.3">
      <c r="A179" s="41"/>
      <c r="B179" s="54"/>
      <c r="C179" s="46"/>
      <c r="D179" s="54"/>
      <c r="E179" s="46"/>
      <c r="F179" s="43"/>
      <c r="G179" s="46"/>
      <c r="H179" s="40"/>
    </row>
    <row r="180" spans="1:8" ht="15.6" customHeight="1" x14ac:dyDescent="0.3">
      <c r="A180" s="41"/>
      <c r="B180" s="40"/>
      <c r="C180" s="43"/>
      <c r="D180" s="42"/>
      <c r="E180" s="43"/>
      <c r="F180" s="43"/>
      <c r="G180" s="43"/>
      <c r="H180" s="40"/>
    </row>
    <row r="181" spans="1:8" ht="15.6" customHeight="1" x14ac:dyDescent="0.3">
      <c r="A181" s="41"/>
      <c r="B181" s="40"/>
      <c r="C181" s="43"/>
      <c r="D181" s="42"/>
      <c r="E181" s="43"/>
      <c r="F181" s="43"/>
      <c r="G181" s="43"/>
      <c r="H181" s="40"/>
    </row>
    <row r="182" spans="1:8" ht="15.6" customHeight="1" x14ac:dyDescent="0.3">
      <c r="A182" s="41"/>
      <c r="B182" s="40"/>
      <c r="C182" s="43"/>
      <c r="D182" s="42"/>
      <c r="E182" s="43"/>
      <c r="F182" s="43"/>
      <c r="G182" s="43"/>
      <c r="H182" s="40"/>
    </row>
    <row r="183" spans="1:8" ht="15.6" customHeight="1" x14ac:dyDescent="0.3">
      <c r="A183" s="41"/>
      <c r="B183" s="40"/>
      <c r="C183" s="43"/>
      <c r="D183" s="42"/>
      <c r="E183" s="43"/>
      <c r="F183" s="43"/>
      <c r="G183" s="43"/>
      <c r="H183" s="40"/>
    </row>
    <row r="184" spans="1:8" ht="15.6" customHeight="1" x14ac:dyDescent="0.3">
      <c r="A184" s="41"/>
      <c r="B184" s="40"/>
      <c r="C184" s="43"/>
      <c r="D184" s="42"/>
      <c r="E184" s="43"/>
      <c r="F184" s="43"/>
      <c r="G184" s="43"/>
      <c r="H184" s="40"/>
    </row>
    <row r="185" spans="1:8" ht="15.6" customHeight="1" x14ac:dyDescent="0.3">
      <c r="A185" s="41"/>
      <c r="B185" s="40"/>
      <c r="C185" s="43"/>
      <c r="D185" s="42"/>
      <c r="E185" s="43"/>
      <c r="F185" s="43"/>
      <c r="G185" s="43"/>
      <c r="H185" s="40"/>
    </row>
    <row r="186" spans="1:8" ht="15.6" customHeight="1" x14ac:dyDescent="0.3">
      <c r="A186" s="41"/>
      <c r="B186" s="40"/>
      <c r="C186" s="43"/>
      <c r="D186" s="42"/>
      <c r="E186" s="43"/>
      <c r="F186" s="43"/>
      <c r="G186" s="43"/>
      <c r="H186" s="40"/>
    </row>
    <row r="187" spans="1:8" ht="15.6" customHeight="1" x14ac:dyDescent="0.3">
      <c r="A187" s="41"/>
      <c r="B187" s="40"/>
      <c r="C187" s="43"/>
      <c r="D187" s="42"/>
      <c r="E187" s="43"/>
      <c r="F187" s="43"/>
      <c r="G187" s="46"/>
      <c r="H187" s="40"/>
    </row>
    <row r="188" spans="1:8" x14ac:dyDescent="0.3">
      <c r="A188" s="41"/>
      <c r="B188" s="40"/>
      <c r="C188" s="43"/>
      <c r="D188" s="42"/>
      <c r="E188" s="43"/>
      <c r="F188" s="43"/>
      <c r="G188" s="43"/>
      <c r="H188" s="40"/>
    </row>
    <row r="189" spans="1:8" x14ac:dyDescent="0.3">
      <c r="A189" s="41"/>
      <c r="B189" s="40"/>
      <c r="C189" s="43"/>
      <c r="D189" s="42"/>
      <c r="E189" s="43"/>
      <c r="F189" s="43"/>
      <c r="G189" s="43"/>
      <c r="H189" s="40"/>
    </row>
    <row r="190" spans="1:8" x14ac:dyDescent="0.3">
      <c r="A190" s="41"/>
      <c r="B190" s="40"/>
      <c r="C190" s="43"/>
      <c r="D190" s="42"/>
      <c r="E190" s="43"/>
      <c r="F190" s="43"/>
      <c r="G190" s="43"/>
      <c r="H190" s="40"/>
    </row>
    <row r="191" spans="1:8" x14ac:dyDescent="0.3">
      <c r="A191" s="41"/>
      <c r="B191" s="40"/>
      <c r="C191" s="43"/>
      <c r="D191" s="42"/>
      <c r="E191" s="43"/>
      <c r="F191" s="43"/>
      <c r="G191" s="43"/>
      <c r="H191" s="40"/>
    </row>
    <row r="192" spans="1:8" x14ac:dyDescent="0.3">
      <c r="A192" s="41"/>
      <c r="B192" s="40"/>
      <c r="C192" s="43"/>
      <c r="D192" s="42"/>
      <c r="E192" s="43"/>
      <c r="F192" s="43"/>
      <c r="G192" s="43"/>
      <c r="H192" s="40"/>
    </row>
    <row r="193" spans="1:8" ht="16.2" customHeight="1" x14ac:dyDescent="0.3">
      <c r="A193" s="41"/>
      <c r="B193" s="40"/>
      <c r="C193" s="43"/>
      <c r="D193" s="42"/>
      <c r="E193" s="43"/>
      <c r="F193" s="43"/>
      <c r="G193" s="43"/>
      <c r="H193" s="40"/>
    </row>
    <row r="194" spans="1:8" x14ac:dyDescent="0.3">
      <c r="A194" s="41"/>
      <c r="B194" s="40"/>
      <c r="C194" s="43"/>
      <c r="D194" s="42"/>
      <c r="E194" s="43"/>
      <c r="F194" s="43"/>
      <c r="G194" s="43"/>
      <c r="H194" s="40"/>
    </row>
    <row r="195" spans="1:8" x14ac:dyDescent="0.3">
      <c r="A195" s="41"/>
      <c r="B195" s="40"/>
      <c r="C195" s="43"/>
      <c r="D195" s="42"/>
      <c r="E195" s="43"/>
      <c r="F195" s="43"/>
      <c r="G195" s="43"/>
      <c r="H195" s="40"/>
    </row>
    <row r="196" spans="1:8" x14ac:dyDescent="0.3">
      <c r="A196" s="41"/>
      <c r="B196" s="40"/>
      <c r="C196" s="43"/>
      <c r="D196" s="42"/>
      <c r="E196" s="43"/>
      <c r="F196" s="43"/>
      <c r="G196" s="43"/>
      <c r="H196" s="40"/>
    </row>
    <row r="197" spans="1:8" x14ac:dyDescent="0.3">
      <c r="A197" s="41"/>
      <c r="B197" s="40"/>
      <c r="C197" s="43"/>
      <c r="D197" s="42"/>
      <c r="E197" s="43"/>
      <c r="F197" s="43"/>
      <c r="G197" s="43"/>
      <c r="H197" s="40"/>
    </row>
    <row r="198" spans="1:8" x14ac:dyDescent="0.3">
      <c r="A198" s="41"/>
      <c r="B198" s="40"/>
      <c r="C198" s="43"/>
      <c r="D198" s="42"/>
      <c r="E198" s="43"/>
      <c r="F198" s="43"/>
      <c r="G198" s="43"/>
      <c r="H198" s="40"/>
    </row>
    <row r="199" spans="1:8" x14ac:dyDescent="0.3">
      <c r="A199" s="41"/>
      <c r="B199" s="40"/>
      <c r="C199" s="43"/>
      <c r="D199" s="42"/>
      <c r="E199" s="43"/>
      <c r="F199" s="43"/>
      <c r="G199" s="43"/>
      <c r="H199" s="40"/>
    </row>
    <row r="200" spans="1:8" x14ac:dyDescent="0.3">
      <c r="A200" s="41"/>
      <c r="B200" s="40"/>
      <c r="C200" s="43"/>
      <c r="D200" s="42"/>
      <c r="E200" s="43"/>
      <c r="F200" s="43"/>
      <c r="G200" s="43"/>
      <c r="H200" s="40"/>
    </row>
    <row r="201" spans="1:8" x14ac:dyDescent="0.3">
      <c r="A201" s="41"/>
      <c r="B201" s="40"/>
      <c r="C201" s="43"/>
      <c r="D201" s="42"/>
      <c r="E201" s="43"/>
      <c r="F201" s="43"/>
      <c r="G201" s="43"/>
      <c r="H201" s="40"/>
    </row>
    <row r="202" spans="1:8" x14ac:dyDescent="0.3">
      <c r="A202" s="41"/>
      <c r="B202" s="40"/>
      <c r="C202" s="43"/>
      <c r="D202" s="42"/>
      <c r="E202" s="43"/>
      <c r="F202" s="43"/>
      <c r="G202" s="43"/>
      <c r="H202" s="40"/>
    </row>
    <row r="203" spans="1:8" x14ac:dyDescent="0.3">
      <c r="A203" s="41"/>
      <c r="B203" s="40"/>
      <c r="C203" s="43"/>
      <c r="D203" s="42"/>
      <c r="E203" s="43"/>
      <c r="F203" s="43"/>
      <c r="G203" s="43"/>
      <c r="H203" s="40"/>
    </row>
    <row r="204" spans="1:8" x14ac:dyDescent="0.3">
      <c r="A204" s="41"/>
      <c r="B204" s="40"/>
      <c r="C204" s="43"/>
      <c r="D204" s="42"/>
      <c r="E204" s="43"/>
      <c r="F204" s="43"/>
      <c r="G204" s="43"/>
      <c r="H204" s="40"/>
    </row>
    <row r="205" spans="1:8" x14ac:dyDescent="0.3">
      <c r="A205" s="41"/>
      <c r="B205" s="40"/>
      <c r="C205" s="43"/>
      <c r="D205" s="42"/>
      <c r="E205" s="43"/>
      <c r="F205" s="43"/>
      <c r="G205" s="43"/>
      <c r="H205" s="40"/>
    </row>
    <row r="206" spans="1:8" x14ac:dyDescent="0.3">
      <c r="A206" s="41"/>
      <c r="B206" s="40"/>
      <c r="C206" s="43"/>
      <c r="D206" s="42"/>
      <c r="E206" s="43"/>
      <c r="F206" s="43"/>
      <c r="G206" s="43"/>
      <c r="H206" s="40"/>
    </row>
    <row r="207" spans="1:8" x14ac:dyDescent="0.3">
      <c r="A207" s="41"/>
      <c r="B207" s="40"/>
      <c r="C207" s="43"/>
      <c r="D207" s="42"/>
      <c r="E207" s="43"/>
      <c r="F207" s="43"/>
      <c r="G207" s="43"/>
      <c r="H207" s="40"/>
    </row>
    <row r="208" spans="1:8" x14ac:dyDescent="0.3">
      <c r="A208" s="41"/>
      <c r="B208" s="40"/>
      <c r="C208" s="43"/>
      <c r="D208" s="42"/>
      <c r="E208" s="43"/>
      <c r="F208" s="43"/>
      <c r="G208" s="43"/>
      <c r="H208" s="40"/>
    </row>
    <row r="209" spans="1:8" x14ac:dyDescent="0.3">
      <c r="A209" s="41"/>
      <c r="B209" s="40"/>
      <c r="C209" s="43"/>
      <c r="D209" s="42"/>
      <c r="E209" s="43"/>
      <c r="F209" s="43"/>
      <c r="G209" s="43"/>
      <c r="H209" s="40"/>
    </row>
    <row r="210" spans="1:8" x14ac:dyDescent="0.3">
      <c r="A210" s="41"/>
      <c r="B210" s="40"/>
      <c r="C210" s="43"/>
      <c r="D210" s="42"/>
      <c r="E210" s="43"/>
      <c r="F210" s="43"/>
      <c r="G210" s="46"/>
      <c r="H210" s="40"/>
    </row>
    <row r="211" spans="1:8" x14ac:dyDescent="0.3">
      <c r="A211" s="41"/>
      <c r="B211" s="40"/>
      <c r="C211" s="43"/>
      <c r="D211" s="42"/>
      <c r="E211" s="43"/>
      <c r="F211" s="43"/>
      <c r="G211" s="46"/>
      <c r="H211" s="40"/>
    </row>
    <row r="212" spans="1:8" x14ac:dyDescent="0.3">
      <c r="A212" s="41"/>
      <c r="B212" s="40"/>
      <c r="C212" s="43"/>
      <c r="D212" s="42"/>
      <c r="E212" s="43"/>
      <c r="F212" s="43"/>
      <c r="G212" s="43"/>
      <c r="H212" s="40"/>
    </row>
    <row r="213" spans="1:8" x14ac:dyDescent="0.3">
      <c r="A213" s="41"/>
      <c r="B213" s="40"/>
      <c r="C213" s="43"/>
      <c r="D213" s="42"/>
      <c r="E213" s="43"/>
      <c r="F213" s="43"/>
      <c r="G213" s="46"/>
      <c r="H213" s="40"/>
    </row>
    <row r="214" spans="1:8" x14ac:dyDescent="0.3">
      <c r="A214" s="41"/>
      <c r="B214" s="40"/>
      <c r="C214" s="43"/>
      <c r="D214" s="42"/>
      <c r="E214" s="43"/>
      <c r="F214" s="43"/>
      <c r="G214" s="46"/>
      <c r="H214" s="40"/>
    </row>
    <row r="215" spans="1:8" x14ac:dyDescent="0.3">
      <c r="A215" s="41"/>
      <c r="B215" s="40"/>
      <c r="C215" s="43"/>
      <c r="D215" s="42"/>
      <c r="E215" s="43"/>
      <c r="F215" s="43"/>
      <c r="G215" s="46"/>
      <c r="H215" s="40"/>
    </row>
    <row r="216" spans="1:8" x14ac:dyDescent="0.3">
      <c r="A216" s="41"/>
      <c r="B216" s="40"/>
      <c r="C216" s="43"/>
      <c r="D216" s="42"/>
      <c r="E216" s="43"/>
      <c r="F216" s="43"/>
      <c r="G216" s="46"/>
      <c r="H216" s="40"/>
    </row>
    <row r="217" spans="1:8" x14ac:dyDescent="0.3">
      <c r="A217" s="41"/>
      <c r="B217" s="40"/>
      <c r="C217" s="43"/>
      <c r="D217" s="42"/>
      <c r="E217" s="43"/>
      <c r="F217" s="43"/>
      <c r="G217" s="46"/>
      <c r="H217" s="40"/>
    </row>
    <row r="218" spans="1:8" x14ac:dyDescent="0.3">
      <c r="A218" s="41"/>
      <c r="B218" s="40"/>
      <c r="C218" s="43"/>
      <c r="D218" s="42"/>
      <c r="E218" s="43"/>
      <c r="F218" s="43"/>
      <c r="G218" s="43"/>
      <c r="H218" s="40"/>
    </row>
    <row r="219" spans="1:8" x14ac:dyDescent="0.3">
      <c r="A219" s="41"/>
      <c r="B219" s="40"/>
      <c r="C219" s="43"/>
      <c r="D219" s="42"/>
      <c r="E219" s="43"/>
      <c r="F219" s="43"/>
      <c r="G219" s="43"/>
      <c r="H219" s="40"/>
    </row>
    <row r="220" spans="1:8" x14ac:dyDescent="0.3">
      <c r="A220" s="41"/>
      <c r="B220" s="40"/>
      <c r="C220" s="43"/>
      <c r="D220" s="42"/>
      <c r="E220" s="43"/>
      <c r="F220" s="43"/>
      <c r="G220" s="43"/>
      <c r="H220" s="40"/>
    </row>
    <row r="221" spans="1:8" x14ac:dyDescent="0.3">
      <c r="A221" s="41"/>
      <c r="B221" s="40"/>
      <c r="C221" s="43"/>
      <c r="D221" s="42"/>
      <c r="E221" s="43"/>
      <c r="F221" s="43"/>
      <c r="G221" s="43"/>
      <c r="H221" s="40"/>
    </row>
    <row r="222" spans="1:8" x14ac:dyDescent="0.3">
      <c r="A222" s="41"/>
      <c r="B222" s="40"/>
      <c r="C222" s="43"/>
      <c r="D222" s="42"/>
      <c r="E222" s="43"/>
      <c r="F222" s="43"/>
      <c r="G222" s="43"/>
      <c r="H222" s="40"/>
    </row>
    <row r="234" spans="7:8" x14ac:dyDescent="0.3">
      <c r="G234" s="57"/>
      <c r="H234" s="6"/>
    </row>
    <row r="237" spans="7:8" x14ac:dyDescent="0.3">
      <c r="G237" s="57"/>
    </row>
  </sheetData>
  <mergeCells count="2">
    <mergeCell ref="A2:F2"/>
    <mergeCell ref="A3:F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79B6C-4A82-48CD-BE0A-0EAE74CD21CF}">
  <dimension ref="A1:G94"/>
  <sheetViews>
    <sheetView topLeftCell="A31" workbookViewId="0">
      <selection activeCell="A48" sqref="A48"/>
    </sheetView>
  </sheetViews>
  <sheetFormatPr defaultRowHeight="14.4" x14ac:dyDescent="0.3"/>
  <cols>
    <col min="2" max="2" width="23" customWidth="1"/>
    <col min="3" max="3" width="8.88671875" style="37"/>
    <col min="4" max="4" width="34.6640625" customWidth="1"/>
    <col min="5" max="5" width="14.44140625" customWidth="1"/>
    <col min="6" max="6" width="19.33203125" customWidth="1"/>
  </cols>
  <sheetData>
    <row r="1" spans="1:7" x14ac:dyDescent="0.3">
      <c r="A1">
        <v>20806</v>
      </c>
      <c r="B1" t="s">
        <v>164</v>
      </c>
      <c r="C1" s="37" t="s">
        <v>18</v>
      </c>
      <c r="D1" t="s">
        <v>10</v>
      </c>
      <c r="E1" t="s">
        <v>165</v>
      </c>
      <c r="F1" t="s">
        <v>166</v>
      </c>
      <c r="G1" t="s">
        <v>75</v>
      </c>
    </row>
    <row r="2" spans="1:7" x14ac:dyDescent="0.3">
      <c r="A2">
        <v>20744</v>
      </c>
      <c r="B2" t="s">
        <v>170</v>
      </c>
      <c r="C2" s="37" t="s">
        <v>22</v>
      </c>
      <c r="D2" t="s">
        <v>10</v>
      </c>
      <c r="E2" t="s">
        <v>171</v>
      </c>
      <c r="G2" t="s">
        <v>75</v>
      </c>
    </row>
    <row r="3" spans="1:7" x14ac:dyDescent="0.3">
      <c r="A3">
        <v>20716</v>
      </c>
      <c r="B3" t="s">
        <v>172</v>
      </c>
      <c r="C3" s="37" t="s">
        <v>22</v>
      </c>
      <c r="D3" t="s">
        <v>10</v>
      </c>
      <c r="E3" t="s">
        <v>173</v>
      </c>
      <c r="F3" t="s">
        <v>174</v>
      </c>
      <c r="G3" t="s">
        <v>75</v>
      </c>
    </row>
    <row r="4" spans="1:7" x14ac:dyDescent="0.3">
      <c r="A4">
        <v>20357</v>
      </c>
      <c r="B4" t="s">
        <v>167</v>
      </c>
      <c r="C4" s="37" t="s">
        <v>23</v>
      </c>
      <c r="D4" t="s">
        <v>10</v>
      </c>
      <c r="E4" t="s">
        <v>168</v>
      </c>
      <c r="F4" t="s">
        <v>169</v>
      </c>
      <c r="G4" t="s">
        <v>75</v>
      </c>
    </row>
    <row r="5" spans="1:7" x14ac:dyDescent="0.3">
      <c r="A5">
        <v>20449</v>
      </c>
      <c r="B5" t="s">
        <v>100</v>
      </c>
      <c r="C5" s="37" t="s">
        <v>25</v>
      </c>
      <c r="D5" t="s">
        <v>11</v>
      </c>
      <c r="E5" t="s">
        <v>77</v>
      </c>
      <c r="F5" t="s">
        <v>83</v>
      </c>
      <c r="G5" t="s">
        <v>75</v>
      </c>
    </row>
    <row r="6" spans="1:7" x14ac:dyDescent="0.3">
      <c r="A6">
        <v>20362</v>
      </c>
      <c r="B6" t="s">
        <v>108</v>
      </c>
      <c r="C6" s="37" t="s">
        <v>28</v>
      </c>
      <c r="D6" t="s">
        <v>109</v>
      </c>
      <c r="G6" t="s">
        <v>92</v>
      </c>
    </row>
    <row r="7" spans="1:7" x14ac:dyDescent="0.3">
      <c r="A7">
        <v>20552</v>
      </c>
      <c r="B7" t="s">
        <v>110</v>
      </c>
      <c r="C7" s="37" t="s">
        <v>28</v>
      </c>
      <c r="D7" t="s">
        <v>109</v>
      </c>
      <c r="G7" t="s">
        <v>92</v>
      </c>
    </row>
    <row r="8" spans="1:7" x14ac:dyDescent="0.3">
      <c r="A8">
        <v>20485</v>
      </c>
      <c r="B8" t="s">
        <v>120</v>
      </c>
      <c r="C8" s="37" t="s">
        <v>29</v>
      </c>
      <c r="D8" t="s">
        <v>11</v>
      </c>
      <c r="E8" t="s">
        <v>121</v>
      </c>
      <c r="F8" t="s">
        <v>83</v>
      </c>
      <c r="G8" t="s">
        <v>75</v>
      </c>
    </row>
    <row r="9" spans="1:7" x14ac:dyDescent="0.3">
      <c r="A9">
        <v>20728</v>
      </c>
      <c r="B9" t="s">
        <v>197</v>
      </c>
      <c r="C9" s="37" t="s">
        <v>65</v>
      </c>
      <c r="D9" t="s">
        <v>198</v>
      </c>
      <c r="E9" t="s">
        <v>86</v>
      </c>
      <c r="F9" t="s">
        <v>199</v>
      </c>
      <c r="G9" t="s">
        <v>75</v>
      </c>
    </row>
    <row r="10" spans="1:7" x14ac:dyDescent="0.3">
      <c r="A10">
        <v>20030</v>
      </c>
      <c r="B10" t="s">
        <v>106</v>
      </c>
      <c r="C10" s="37" t="s">
        <v>30</v>
      </c>
      <c r="D10" t="s">
        <v>11</v>
      </c>
      <c r="E10" t="s">
        <v>105</v>
      </c>
      <c r="F10" t="s">
        <v>83</v>
      </c>
      <c r="G10" t="s">
        <v>75</v>
      </c>
    </row>
    <row r="11" spans="1:7" x14ac:dyDescent="0.3">
      <c r="A11">
        <v>20259</v>
      </c>
      <c r="B11" t="s">
        <v>103</v>
      </c>
      <c r="C11" s="37" t="s">
        <v>31</v>
      </c>
      <c r="D11" t="s">
        <v>11</v>
      </c>
      <c r="E11" t="s">
        <v>102</v>
      </c>
      <c r="F11" t="s">
        <v>83</v>
      </c>
      <c r="G11" t="s">
        <v>75</v>
      </c>
    </row>
    <row r="12" spans="1:7" x14ac:dyDescent="0.3">
      <c r="A12">
        <v>20107</v>
      </c>
      <c r="B12" t="s">
        <v>104</v>
      </c>
      <c r="C12" s="37" t="s">
        <v>31</v>
      </c>
      <c r="D12" t="s">
        <v>11</v>
      </c>
      <c r="E12" t="s">
        <v>105</v>
      </c>
      <c r="F12" t="s">
        <v>83</v>
      </c>
      <c r="G12" t="s">
        <v>75</v>
      </c>
    </row>
    <row r="13" spans="1:7" x14ac:dyDescent="0.3">
      <c r="A13">
        <v>20218</v>
      </c>
      <c r="B13" t="s">
        <v>107</v>
      </c>
      <c r="C13" s="37" t="s">
        <v>31</v>
      </c>
      <c r="D13" t="s">
        <v>11</v>
      </c>
      <c r="E13" t="s">
        <v>105</v>
      </c>
      <c r="F13" t="s">
        <v>83</v>
      </c>
      <c r="G13" t="s">
        <v>75</v>
      </c>
    </row>
    <row r="14" spans="1:7" x14ac:dyDescent="0.3">
      <c r="A14">
        <v>20066</v>
      </c>
      <c r="B14" t="s">
        <v>88</v>
      </c>
      <c r="C14" s="37" t="s">
        <v>32</v>
      </c>
      <c r="D14" t="s">
        <v>89</v>
      </c>
      <c r="E14" t="s">
        <v>90</v>
      </c>
      <c r="F14" t="s">
        <v>91</v>
      </c>
      <c r="G14" t="s">
        <v>92</v>
      </c>
    </row>
    <row r="15" spans="1:7" x14ac:dyDescent="0.3">
      <c r="A15">
        <v>20529</v>
      </c>
      <c r="B15" t="s">
        <v>93</v>
      </c>
      <c r="C15" s="37" t="s">
        <v>32</v>
      </c>
      <c r="D15" t="s">
        <v>89</v>
      </c>
      <c r="E15" t="s">
        <v>90</v>
      </c>
      <c r="F15" t="s">
        <v>91</v>
      </c>
      <c r="G15" t="s">
        <v>92</v>
      </c>
    </row>
    <row r="16" spans="1:7" x14ac:dyDescent="0.3">
      <c r="A16">
        <v>20038</v>
      </c>
      <c r="B16" t="s">
        <v>94</v>
      </c>
      <c r="C16" s="37" t="s">
        <v>32</v>
      </c>
      <c r="D16" t="s">
        <v>89</v>
      </c>
      <c r="E16" t="s">
        <v>90</v>
      </c>
      <c r="F16" t="s">
        <v>91</v>
      </c>
      <c r="G16" t="s">
        <v>92</v>
      </c>
    </row>
    <row r="17" spans="1:7" x14ac:dyDescent="0.3">
      <c r="A17">
        <v>20118</v>
      </c>
      <c r="B17" t="s">
        <v>101</v>
      </c>
      <c r="C17" s="37" t="s">
        <v>32</v>
      </c>
      <c r="D17" t="s">
        <v>11</v>
      </c>
      <c r="E17" t="s">
        <v>102</v>
      </c>
      <c r="F17" t="s">
        <v>11</v>
      </c>
      <c r="G17" t="s">
        <v>75</v>
      </c>
    </row>
    <row r="18" spans="1:7" x14ac:dyDescent="0.3">
      <c r="A18">
        <v>20270</v>
      </c>
      <c r="B18" t="s">
        <v>122</v>
      </c>
      <c r="C18" s="37" t="s">
        <v>32</v>
      </c>
      <c r="D18" t="s">
        <v>89</v>
      </c>
      <c r="E18" t="s">
        <v>90</v>
      </c>
      <c r="F18" t="s">
        <v>123</v>
      </c>
      <c r="G18" t="s">
        <v>92</v>
      </c>
    </row>
    <row r="19" spans="1:7" x14ac:dyDescent="0.3">
      <c r="A19">
        <v>20118</v>
      </c>
      <c r="B19" t="s">
        <v>101</v>
      </c>
      <c r="C19" s="37" t="s">
        <v>32</v>
      </c>
      <c r="D19" t="s">
        <v>89</v>
      </c>
      <c r="E19" t="s">
        <v>90</v>
      </c>
      <c r="G19" t="s">
        <v>92</v>
      </c>
    </row>
    <row r="20" spans="1:7" x14ac:dyDescent="0.3">
      <c r="A20">
        <v>20038</v>
      </c>
      <c r="B20" t="s">
        <v>94</v>
      </c>
      <c r="C20" s="37" t="s">
        <v>32</v>
      </c>
      <c r="D20" t="s">
        <v>11</v>
      </c>
      <c r="E20" t="s">
        <v>126</v>
      </c>
      <c r="F20" t="s">
        <v>200</v>
      </c>
      <c r="G20" t="s">
        <v>75</v>
      </c>
    </row>
    <row r="21" spans="1:7" x14ac:dyDescent="0.3">
      <c r="A21">
        <v>20270</v>
      </c>
      <c r="B21" t="s">
        <v>122</v>
      </c>
      <c r="C21" s="37" t="s">
        <v>32</v>
      </c>
      <c r="D21" t="s">
        <v>11</v>
      </c>
      <c r="E21" t="s">
        <v>126</v>
      </c>
      <c r="F21" t="s">
        <v>200</v>
      </c>
      <c r="G21" t="s">
        <v>75</v>
      </c>
    </row>
    <row r="22" spans="1:7" x14ac:dyDescent="0.3">
      <c r="A22">
        <v>20083</v>
      </c>
      <c r="B22" t="s">
        <v>127</v>
      </c>
      <c r="C22" s="37" t="s">
        <v>32</v>
      </c>
      <c r="D22" t="s">
        <v>11</v>
      </c>
      <c r="E22" t="s">
        <v>121</v>
      </c>
      <c r="F22" t="s">
        <v>200</v>
      </c>
      <c r="G22" t="s">
        <v>75</v>
      </c>
    </row>
    <row r="23" spans="1:7" x14ac:dyDescent="0.3">
      <c r="A23">
        <v>20217</v>
      </c>
      <c r="B23" t="s">
        <v>124</v>
      </c>
      <c r="C23" s="37" t="s">
        <v>66</v>
      </c>
      <c r="D23" t="s">
        <v>109</v>
      </c>
      <c r="E23" t="s">
        <v>90</v>
      </c>
      <c r="F23" t="s">
        <v>125</v>
      </c>
      <c r="G23" t="s">
        <v>92</v>
      </c>
    </row>
    <row r="24" spans="1:7" x14ac:dyDescent="0.3">
      <c r="C24" s="37" t="s">
        <v>34</v>
      </c>
      <c r="D24" t="s">
        <v>95</v>
      </c>
      <c r="E24" t="s">
        <v>96</v>
      </c>
      <c r="F24" t="s">
        <v>97</v>
      </c>
      <c r="G24" t="s">
        <v>75</v>
      </c>
    </row>
    <row r="25" spans="1:7" x14ac:dyDescent="0.3">
      <c r="A25">
        <v>31251</v>
      </c>
      <c r="B25" t="s">
        <v>98</v>
      </c>
      <c r="C25" s="37" t="s">
        <v>35</v>
      </c>
      <c r="D25" t="s">
        <v>11</v>
      </c>
      <c r="E25" t="s">
        <v>99</v>
      </c>
      <c r="F25" t="s">
        <v>83</v>
      </c>
      <c r="G25" t="s">
        <v>75</v>
      </c>
    </row>
    <row r="26" spans="1:7" x14ac:dyDescent="0.3">
      <c r="A26">
        <v>31347</v>
      </c>
      <c r="B26" t="s">
        <v>177</v>
      </c>
      <c r="C26" s="37" t="s">
        <v>36</v>
      </c>
      <c r="D26" t="s">
        <v>10</v>
      </c>
      <c r="E26" t="s">
        <v>176</v>
      </c>
      <c r="G26" t="s">
        <v>75</v>
      </c>
    </row>
    <row r="27" spans="1:7" x14ac:dyDescent="0.3">
      <c r="A27">
        <v>31341</v>
      </c>
      <c r="B27" t="s">
        <v>79</v>
      </c>
      <c r="C27" s="37" t="s">
        <v>37</v>
      </c>
      <c r="D27" t="s">
        <v>80</v>
      </c>
      <c r="E27" t="s">
        <v>77</v>
      </c>
      <c r="G27" t="s">
        <v>75</v>
      </c>
    </row>
    <row r="28" spans="1:7" x14ac:dyDescent="0.3">
      <c r="A28">
        <v>31280</v>
      </c>
      <c r="B28" t="s">
        <v>81</v>
      </c>
      <c r="C28" s="37" t="s">
        <v>37</v>
      </c>
      <c r="D28" t="s">
        <v>80</v>
      </c>
      <c r="E28" t="s">
        <v>77</v>
      </c>
      <c r="G28" t="s">
        <v>75</v>
      </c>
    </row>
    <row r="29" spans="1:7" x14ac:dyDescent="0.3">
      <c r="A29">
        <v>31194</v>
      </c>
      <c r="B29" t="s">
        <v>112</v>
      </c>
      <c r="C29" s="37" t="s">
        <v>38</v>
      </c>
      <c r="D29" t="s">
        <v>109</v>
      </c>
      <c r="G29" t="s">
        <v>92</v>
      </c>
    </row>
    <row r="30" spans="1:7" x14ac:dyDescent="0.3">
      <c r="A30">
        <v>31250</v>
      </c>
      <c r="B30" t="s">
        <v>113</v>
      </c>
      <c r="C30" s="37" t="s">
        <v>38</v>
      </c>
      <c r="D30" t="s">
        <v>109</v>
      </c>
      <c r="F30" t="s">
        <v>114</v>
      </c>
      <c r="G30" t="s">
        <v>92</v>
      </c>
    </row>
    <row r="31" spans="1:7" x14ac:dyDescent="0.3">
      <c r="A31">
        <v>31250</v>
      </c>
      <c r="B31" t="s">
        <v>113</v>
      </c>
      <c r="C31" s="37" t="s">
        <v>38</v>
      </c>
      <c r="D31" t="s">
        <v>89</v>
      </c>
      <c r="F31" t="s">
        <v>115</v>
      </c>
      <c r="G31" t="s">
        <v>92</v>
      </c>
    </row>
    <row r="32" spans="1:7" x14ac:dyDescent="0.3">
      <c r="A32">
        <v>31159</v>
      </c>
      <c r="B32" t="s">
        <v>116</v>
      </c>
      <c r="C32" s="37" t="s">
        <v>38</v>
      </c>
      <c r="D32" t="s">
        <v>89</v>
      </c>
      <c r="F32" t="s">
        <v>115</v>
      </c>
      <c r="G32" t="s">
        <v>92</v>
      </c>
    </row>
    <row r="33" spans="1:7" x14ac:dyDescent="0.3">
      <c r="A33">
        <v>30995</v>
      </c>
      <c r="B33" t="s">
        <v>186</v>
      </c>
      <c r="C33" s="37" t="s">
        <v>41</v>
      </c>
      <c r="D33" t="s">
        <v>10</v>
      </c>
      <c r="E33" t="s">
        <v>187</v>
      </c>
      <c r="G33" t="s">
        <v>75</v>
      </c>
    </row>
    <row r="34" spans="1:7" x14ac:dyDescent="0.3">
      <c r="A34">
        <v>30896</v>
      </c>
      <c r="B34" t="s">
        <v>184</v>
      </c>
      <c r="C34" s="37" t="s">
        <v>42</v>
      </c>
      <c r="D34" t="s">
        <v>10</v>
      </c>
      <c r="E34" t="s">
        <v>185</v>
      </c>
      <c r="F34" t="s">
        <v>174</v>
      </c>
      <c r="G34" t="s">
        <v>75</v>
      </c>
    </row>
    <row r="35" spans="1:7" x14ac:dyDescent="0.3">
      <c r="A35">
        <v>30793</v>
      </c>
      <c r="B35" t="s">
        <v>84</v>
      </c>
      <c r="C35" s="37" t="s">
        <v>44</v>
      </c>
      <c r="D35" t="s">
        <v>85</v>
      </c>
      <c r="E35" t="s">
        <v>86</v>
      </c>
      <c r="F35" t="s">
        <v>87</v>
      </c>
      <c r="G35" t="s">
        <v>75</v>
      </c>
    </row>
    <row r="36" spans="1:7" x14ac:dyDescent="0.3">
      <c r="A36">
        <v>31003</v>
      </c>
      <c r="B36" t="s">
        <v>128</v>
      </c>
      <c r="C36" s="37" t="s">
        <v>44</v>
      </c>
      <c r="D36" t="s">
        <v>11</v>
      </c>
      <c r="E36" t="s">
        <v>121</v>
      </c>
      <c r="F36" t="s">
        <v>83</v>
      </c>
      <c r="G36" t="s">
        <v>75</v>
      </c>
    </row>
    <row r="37" spans="1:7" x14ac:dyDescent="0.3">
      <c r="A37">
        <v>31028</v>
      </c>
      <c r="B37" t="s">
        <v>148</v>
      </c>
      <c r="C37" s="37" t="s">
        <v>44</v>
      </c>
      <c r="D37" t="s">
        <v>11</v>
      </c>
      <c r="E37" t="s">
        <v>121</v>
      </c>
      <c r="F37" t="s">
        <v>83</v>
      </c>
      <c r="G37" t="s">
        <v>75</v>
      </c>
    </row>
    <row r="38" spans="1:7" x14ac:dyDescent="0.3">
      <c r="A38">
        <v>30975</v>
      </c>
      <c r="B38" t="s">
        <v>149</v>
      </c>
      <c r="C38" s="37" t="s">
        <v>44</v>
      </c>
      <c r="D38" t="s">
        <v>11</v>
      </c>
      <c r="E38" t="s">
        <v>121</v>
      </c>
      <c r="F38" t="s">
        <v>83</v>
      </c>
      <c r="G38" t="s">
        <v>75</v>
      </c>
    </row>
    <row r="39" spans="1:7" x14ac:dyDescent="0.3">
      <c r="A39">
        <v>30936</v>
      </c>
      <c r="B39" t="s">
        <v>129</v>
      </c>
      <c r="C39" s="37" t="s">
        <v>45</v>
      </c>
      <c r="D39" t="s">
        <v>11</v>
      </c>
      <c r="E39" t="s">
        <v>121</v>
      </c>
      <c r="F39" t="s">
        <v>83</v>
      </c>
      <c r="G39" t="s">
        <v>75</v>
      </c>
    </row>
    <row r="40" spans="1:7" x14ac:dyDescent="0.3">
      <c r="A40">
        <v>30899</v>
      </c>
      <c r="B40" t="s">
        <v>130</v>
      </c>
      <c r="C40" s="37" t="s">
        <v>45</v>
      </c>
      <c r="D40" t="s">
        <v>11</v>
      </c>
      <c r="E40" t="s">
        <v>121</v>
      </c>
      <c r="F40" t="s">
        <v>83</v>
      </c>
      <c r="G40" t="s">
        <v>75</v>
      </c>
    </row>
    <row r="41" spans="1:7" x14ac:dyDescent="0.3">
      <c r="A41">
        <v>31000</v>
      </c>
      <c r="B41" t="s">
        <v>131</v>
      </c>
      <c r="C41" s="37" t="s">
        <v>46</v>
      </c>
      <c r="D41" t="s">
        <v>11</v>
      </c>
      <c r="E41" t="s">
        <v>121</v>
      </c>
      <c r="F41" t="s">
        <v>83</v>
      </c>
      <c r="G41" t="s">
        <v>75</v>
      </c>
    </row>
    <row r="42" spans="1:7" x14ac:dyDescent="0.3">
      <c r="A42">
        <v>31337</v>
      </c>
      <c r="B42" t="s">
        <v>137</v>
      </c>
      <c r="C42" s="37" t="s">
        <v>46</v>
      </c>
      <c r="D42" t="s">
        <v>11</v>
      </c>
      <c r="E42" t="s">
        <v>121</v>
      </c>
      <c r="F42" t="s">
        <v>83</v>
      </c>
      <c r="G42" t="s">
        <v>75</v>
      </c>
    </row>
    <row r="43" spans="1:7" x14ac:dyDescent="0.3">
      <c r="A43">
        <v>30771</v>
      </c>
      <c r="B43" t="s">
        <v>138</v>
      </c>
      <c r="C43" s="37" t="s">
        <v>46</v>
      </c>
      <c r="D43" t="s">
        <v>11</v>
      </c>
      <c r="E43" t="s">
        <v>121</v>
      </c>
      <c r="F43" t="s">
        <v>83</v>
      </c>
      <c r="G43" t="s">
        <v>75</v>
      </c>
    </row>
    <row r="44" spans="1:7" x14ac:dyDescent="0.3">
      <c r="A44">
        <v>31176</v>
      </c>
      <c r="B44" t="s">
        <v>134</v>
      </c>
      <c r="C44" s="37" t="s">
        <v>47</v>
      </c>
      <c r="D44" t="s">
        <v>11</v>
      </c>
      <c r="E44" t="s">
        <v>121</v>
      </c>
      <c r="F44" t="s">
        <v>83</v>
      </c>
      <c r="G44" t="s">
        <v>75</v>
      </c>
    </row>
    <row r="45" spans="1:7" x14ac:dyDescent="0.3">
      <c r="A45">
        <v>30779</v>
      </c>
      <c r="B45" t="s">
        <v>135</v>
      </c>
      <c r="C45" s="37" t="s">
        <v>47</v>
      </c>
      <c r="D45" t="s">
        <v>11</v>
      </c>
      <c r="E45" t="s">
        <v>121</v>
      </c>
      <c r="F45" t="s">
        <v>83</v>
      </c>
      <c r="G45" t="s">
        <v>75</v>
      </c>
    </row>
    <row r="46" spans="1:7" x14ac:dyDescent="0.3">
      <c r="A46">
        <v>30747</v>
      </c>
      <c r="B46" t="s">
        <v>136</v>
      </c>
      <c r="C46" s="37" t="s">
        <v>47</v>
      </c>
      <c r="D46" t="s">
        <v>11</v>
      </c>
      <c r="E46" t="s">
        <v>121</v>
      </c>
      <c r="F46" t="s">
        <v>83</v>
      </c>
      <c r="G46" t="s">
        <v>75</v>
      </c>
    </row>
    <row r="47" spans="1:7" x14ac:dyDescent="0.3">
      <c r="A47">
        <v>30735</v>
      </c>
      <c r="B47" t="s">
        <v>181</v>
      </c>
      <c r="C47" s="37" t="s">
        <v>47</v>
      </c>
      <c r="D47" t="s">
        <v>10</v>
      </c>
      <c r="E47" t="s">
        <v>179</v>
      </c>
      <c r="G47" t="s">
        <v>75</v>
      </c>
    </row>
    <row r="48" spans="1:7" x14ac:dyDescent="0.3">
      <c r="A48">
        <v>30705</v>
      </c>
      <c r="B48" t="s">
        <v>194</v>
      </c>
      <c r="C48" s="37" t="s">
        <v>47</v>
      </c>
      <c r="D48" t="s">
        <v>10</v>
      </c>
      <c r="E48" t="s">
        <v>195</v>
      </c>
      <c r="G48" t="s">
        <v>75</v>
      </c>
    </row>
    <row r="49" spans="1:7" x14ac:dyDescent="0.3">
      <c r="A49">
        <v>31038</v>
      </c>
      <c r="B49" t="s">
        <v>133</v>
      </c>
      <c r="C49" s="37" t="s">
        <v>48</v>
      </c>
      <c r="D49" t="s">
        <v>11</v>
      </c>
      <c r="E49" t="s">
        <v>121</v>
      </c>
      <c r="F49" t="s">
        <v>83</v>
      </c>
      <c r="G49" t="s">
        <v>75</v>
      </c>
    </row>
    <row r="50" spans="1:7" x14ac:dyDescent="0.3">
      <c r="A50">
        <v>30843</v>
      </c>
      <c r="B50" t="s">
        <v>132</v>
      </c>
      <c r="C50" s="37" t="s">
        <v>49</v>
      </c>
      <c r="D50" t="s">
        <v>11</v>
      </c>
      <c r="E50" t="s">
        <v>121</v>
      </c>
      <c r="F50" t="s">
        <v>83</v>
      </c>
      <c r="G50" t="s">
        <v>75</v>
      </c>
    </row>
    <row r="51" spans="1:7" x14ac:dyDescent="0.3">
      <c r="A51">
        <v>30476</v>
      </c>
      <c r="B51" t="s">
        <v>141</v>
      </c>
      <c r="C51" s="37" t="s">
        <v>50</v>
      </c>
      <c r="D51" t="s">
        <v>11</v>
      </c>
      <c r="E51" t="s">
        <v>121</v>
      </c>
      <c r="F51" t="s">
        <v>83</v>
      </c>
      <c r="G51" t="s">
        <v>75</v>
      </c>
    </row>
    <row r="52" spans="1:7" x14ac:dyDescent="0.3">
      <c r="A52">
        <v>30419</v>
      </c>
      <c r="B52" t="s">
        <v>142</v>
      </c>
      <c r="C52" s="37" t="s">
        <v>51</v>
      </c>
      <c r="D52" t="s">
        <v>11</v>
      </c>
      <c r="E52" t="s">
        <v>121</v>
      </c>
      <c r="F52" t="s">
        <v>83</v>
      </c>
      <c r="G52" t="s">
        <v>75</v>
      </c>
    </row>
    <row r="53" spans="1:7" x14ac:dyDescent="0.3">
      <c r="A53">
        <v>30566</v>
      </c>
      <c r="B53" t="s">
        <v>143</v>
      </c>
      <c r="C53" s="37" t="s">
        <v>51</v>
      </c>
      <c r="D53" t="s">
        <v>11</v>
      </c>
      <c r="E53" t="s">
        <v>121</v>
      </c>
      <c r="F53" t="s">
        <v>83</v>
      </c>
      <c r="G53" t="s">
        <v>75</v>
      </c>
    </row>
    <row r="54" spans="1:7" x14ac:dyDescent="0.3">
      <c r="A54">
        <v>30413</v>
      </c>
      <c r="B54" t="s">
        <v>150</v>
      </c>
      <c r="C54" s="37" t="s">
        <v>51</v>
      </c>
      <c r="D54" t="s">
        <v>11</v>
      </c>
      <c r="E54" t="s">
        <v>121</v>
      </c>
      <c r="F54" t="s">
        <v>83</v>
      </c>
      <c r="G54" t="s">
        <v>75</v>
      </c>
    </row>
    <row r="55" spans="1:7" x14ac:dyDescent="0.3">
      <c r="A55">
        <v>30504</v>
      </c>
      <c r="B55" t="s">
        <v>162</v>
      </c>
      <c r="C55" s="37" t="s">
        <v>51</v>
      </c>
      <c r="D55" t="s">
        <v>11</v>
      </c>
      <c r="E55" t="s">
        <v>121</v>
      </c>
      <c r="F55" t="s">
        <v>83</v>
      </c>
      <c r="G55" t="s">
        <v>75</v>
      </c>
    </row>
    <row r="56" spans="1:7" x14ac:dyDescent="0.3">
      <c r="A56">
        <v>30682</v>
      </c>
      <c r="B56" t="s">
        <v>190</v>
      </c>
      <c r="C56" s="37" t="s">
        <v>51</v>
      </c>
      <c r="D56" t="s">
        <v>10</v>
      </c>
      <c r="E56" t="s">
        <v>187</v>
      </c>
      <c r="G56" t="s">
        <v>75</v>
      </c>
    </row>
    <row r="57" spans="1:7" x14ac:dyDescent="0.3">
      <c r="A57">
        <v>30678</v>
      </c>
      <c r="B57" t="s">
        <v>117</v>
      </c>
      <c r="C57" s="37" t="s">
        <v>52</v>
      </c>
      <c r="D57" t="s">
        <v>109</v>
      </c>
      <c r="E57" t="s">
        <v>90</v>
      </c>
      <c r="G57" t="s">
        <v>92</v>
      </c>
    </row>
    <row r="58" spans="1:7" x14ac:dyDescent="0.3">
      <c r="A58">
        <v>30678</v>
      </c>
      <c r="B58" t="s">
        <v>117</v>
      </c>
      <c r="C58" s="37" t="s">
        <v>52</v>
      </c>
      <c r="D58" t="s">
        <v>11</v>
      </c>
      <c r="E58" t="s">
        <v>121</v>
      </c>
      <c r="F58" t="s">
        <v>83</v>
      </c>
      <c r="G58" t="s">
        <v>75</v>
      </c>
    </row>
    <row r="59" spans="1:7" x14ac:dyDescent="0.3">
      <c r="A59">
        <v>30711</v>
      </c>
      <c r="B59" t="s">
        <v>152</v>
      </c>
      <c r="C59" s="37" t="s">
        <v>52</v>
      </c>
      <c r="D59" t="s">
        <v>11</v>
      </c>
      <c r="E59" t="s">
        <v>121</v>
      </c>
      <c r="F59" t="s">
        <v>83</v>
      </c>
      <c r="G59" t="s">
        <v>75</v>
      </c>
    </row>
    <row r="60" spans="1:7" x14ac:dyDescent="0.3">
      <c r="A60">
        <v>30676</v>
      </c>
      <c r="B60" t="s">
        <v>159</v>
      </c>
      <c r="C60" s="37" t="s">
        <v>52</v>
      </c>
      <c r="D60" t="s">
        <v>11</v>
      </c>
      <c r="E60" t="s">
        <v>121</v>
      </c>
      <c r="F60" t="s">
        <v>83</v>
      </c>
      <c r="G60" t="s">
        <v>75</v>
      </c>
    </row>
    <row r="61" spans="1:7" x14ac:dyDescent="0.3">
      <c r="A61">
        <v>30388</v>
      </c>
      <c r="B61" t="s">
        <v>161</v>
      </c>
      <c r="C61" s="37" t="s">
        <v>52</v>
      </c>
      <c r="D61" t="s">
        <v>11</v>
      </c>
      <c r="E61" t="s">
        <v>121</v>
      </c>
      <c r="F61" t="s">
        <v>83</v>
      </c>
      <c r="G61" t="s">
        <v>75</v>
      </c>
    </row>
    <row r="62" spans="1:7" x14ac:dyDescent="0.3">
      <c r="A62">
        <v>30445</v>
      </c>
      <c r="B62" t="s">
        <v>180</v>
      </c>
      <c r="C62" s="37" t="s">
        <v>52</v>
      </c>
      <c r="D62" t="s">
        <v>10</v>
      </c>
      <c r="E62" t="s">
        <v>165</v>
      </c>
      <c r="G62" t="s">
        <v>75</v>
      </c>
    </row>
    <row r="63" spans="1:7" x14ac:dyDescent="0.3">
      <c r="A63">
        <v>30485</v>
      </c>
      <c r="B63" t="s">
        <v>191</v>
      </c>
      <c r="C63" s="37" t="s">
        <v>52</v>
      </c>
      <c r="D63" t="s">
        <v>10</v>
      </c>
      <c r="E63" t="s">
        <v>187</v>
      </c>
      <c r="F63" t="s">
        <v>174</v>
      </c>
      <c r="G63" t="s">
        <v>75</v>
      </c>
    </row>
    <row r="64" spans="1:7" x14ac:dyDescent="0.3">
      <c r="A64">
        <v>30518</v>
      </c>
      <c r="B64" t="s">
        <v>192</v>
      </c>
      <c r="C64" s="37" t="s">
        <v>53</v>
      </c>
      <c r="D64" t="s">
        <v>10</v>
      </c>
      <c r="E64" t="s">
        <v>193</v>
      </c>
      <c r="F64" t="s">
        <v>174</v>
      </c>
      <c r="G64" t="s">
        <v>75</v>
      </c>
    </row>
    <row r="65" spans="1:7" x14ac:dyDescent="0.3">
      <c r="A65">
        <v>30412</v>
      </c>
      <c r="B65" t="s">
        <v>119</v>
      </c>
      <c r="C65" s="37" t="s">
        <v>54</v>
      </c>
      <c r="D65" t="s">
        <v>109</v>
      </c>
      <c r="E65" t="s">
        <v>90</v>
      </c>
      <c r="G65" t="s">
        <v>92</v>
      </c>
    </row>
    <row r="66" spans="1:7" x14ac:dyDescent="0.3">
      <c r="A66">
        <v>30423</v>
      </c>
      <c r="B66" t="s">
        <v>72</v>
      </c>
      <c r="C66" s="37" t="s">
        <v>55</v>
      </c>
      <c r="D66" t="s">
        <v>11</v>
      </c>
      <c r="E66" t="s">
        <v>73</v>
      </c>
      <c r="F66" t="s">
        <v>74</v>
      </c>
      <c r="G66" t="s">
        <v>75</v>
      </c>
    </row>
    <row r="67" spans="1:7" x14ac:dyDescent="0.3">
      <c r="A67">
        <v>31086</v>
      </c>
      <c r="B67" t="s">
        <v>118</v>
      </c>
      <c r="C67" s="37" t="s">
        <v>55</v>
      </c>
      <c r="D67" t="s">
        <v>109</v>
      </c>
      <c r="E67" t="s">
        <v>90</v>
      </c>
      <c r="G67" t="s">
        <v>92</v>
      </c>
    </row>
    <row r="68" spans="1:7" x14ac:dyDescent="0.3">
      <c r="A68">
        <v>30638</v>
      </c>
      <c r="B68" t="s">
        <v>139</v>
      </c>
      <c r="C68" s="37" t="s">
        <v>55</v>
      </c>
      <c r="D68" t="s">
        <v>11</v>
      </c>
      <c r="E68" t="s">
        <v>121</v>
      </c>
      <c r="F68" t="s">
        <v>83</v>
      </c>
      <c r="G68" t="s">
        <v>75</v>
      </c>
    </row>
    <row r="69" spans="1:7" x14ac:dyDescent="0.3">
      <c r="A69">
        <v>30559</v>
      </c>
      <c r="B69" t="s">
        <v>140</v>
      </c>
      <c r="C69" s="37" t="s">
        <v>55</v>
      </c>
      <c r="D69" t="s">
        <v>11</v>
      </c>
      <c r="E69" t="s">
        <v>121</v>
      </c>
      <c r="F69" t="s">
        <v>83</v>
      </c>
      <c r="G69" t="s">
        <v>75</v>
      </c>
    </row>
    <row r="70" spans="1:7" x14ac:dyDescent="0.3">
      <c r="A70">
        <v>30423</v>
      </c>
      <c r="B70" t="s">
        <v>72</v>
      </c>
      <c r="C70" s="37" t="s">
        <v>55</v>
      </c>
      <c r="D70" t="s">
        <v>11</v>
      </c>
      <c r="E70" t="s">
        <v>121</v>
      </c>
      <c r="F70" t="s">
        <v>83</v>
      </c>
      <c r="G70" t="s">
        <v>75</v>
      </c>
    </row>
    <row r="71" spans="1:7" x14ac:dyDescent="0.3">
      <c r="A71">
        <v>31086</v>
      </c>
      <c r="B71" t="s">
        <v>118</v>
      </c>
      <c r="C71" s="37" t="s">
        <v>55</v>
      </c>
      <c r="D71" t="s">
        <v>10</v>
      </c>
      <c r="E71" t="s">
        <v>176</v>
      </c>
      <c r="G71" t="s">
        <v>75</v>
      </c>
    </row>
    <row r="72" spans="1:7" x14ac:dyDescent="0.3">
      <c r="A72">
        <v>30704</v>
      </c>
      <c r="B72" t="s">
        <v>182</v>
      </c>
      <c r="C72" s="37" t="s">
        <v>55</v>
      </c>
      <c r="D72" t="s">
        <v>10</v>
      </c>
      <c r="E72" t="s">
        <v>183</v>
      </c>
      <c r="G72" t="s">
        <v>75</v>
      </c>
    </row>
    <row r="73" spans="1:7" x14ac:dyDescent="0.3">
      <c r="A73">
        <v>30597</v>
      </c>
      <c r="B73" t="s">
        <v>189</v>
      </c>
      <c r="C73" s="37" t="s">
        <v>55</v>
      </c>
      <c r="D73" t="s">
        <v>10</v>
      </c>
      <c r="E73" t="s">
        <v>187</v>
      </c>
      <c r="G73" t="s">
        <v>75</v>
      </c>
    </row>
    <row r="74" spans="1:7" x14ac:dyDescent="0.3">
      <c r="A74">
        <v>30399</v>
      </c>
      <c r="B74" t="s">
        <v>76</v>
      </c>
      <c r="C74" s="37" t="s">
        <v>56</v>
      </c>
      <c r="D74" t="s">
        <v>11</v>
      </c>
      <c r="E74" t="s">
        <v>77</v>
      </c>
      <c r="F74" t="s">
        <v>78</v>
      </c>
      <c r="G74" t="s">
        <v>75</v>
      </c>
    </row>
    <row r="75" spans="1:7" x14ac:dyDescent="0.3">
      <c r="A75">
        <v>30432</v>
      </c>
      <c r="B75" t="s">
        <v>146</v>
      </c>
      <c r="C75" s="37" t="s">
        <v>56</v>
      </c>
      <c r="D75" t="s">
        <v>11</v>
      </c>
      <c r="E75" t="s">
        <v>121</v>
      </c>
      <c r="F75" t="s">
        <v>83</v>
      </c>
      <c r="G75" t="s">
        <v>75</v>
      </c>
    </row>
    <row r="76" spans="1:7" x14ac:dyDescent="0.3">
      <c r="A76">
        <v>30570</v>
      </c>
      <c r="B76" t="s">
        <v>147</v>
      </c>
      <c r="C76" s="37" t="s">
        <v>56</v>
      </c>
      <c r="D76" t="s">
        <v>11</v>
      </c>
      <c r="E76" t="s">
        <v>121</v>
      </c>
      <c r="F76" t="s">
        <v>83</v>
      </c>
      <c r="G76" t="s">
        <v>75</v>
      </c>
    </row>
    <row r="77" spans="1:7" x14ac:dyDescent="0.3">
      <c r="A77">
        <v>31103</v>
      </c>
      <c r="B77" t="s">
        <v>151</v>
      </c>
      <c r="C77" s="37" t="s">
        <v>56</v>
      </c>
      <c r="D77" t="s">
        <v>11</v>
      </c>
      <c r="E77" t="s">
        <v>121</v>
      </c>
      <c r="F77" t="s">
        <v>83</v>
      </c>
      <c r="G77" t="s">
        <v>75</v>
      </c>
    </row>
    <row r="78" spans="1:7" x14ac:dyDescent="0.3">
      <c r="A78">
        <v>30710</v>
      </c>
      <c r="B78" t="s">
        <v>154</v>
      </c>
      <c r="C78" s="37" t="s">
        <v>56</v>
      </c>
      <c r="D78" t="s">
        <v>11</v>
      </c>
      <c r="E78" t="s">
        <v>121</v>
      </c>
      <c r="F78" t="s">
        <v>83</v>
      </c>
      <c r="G78" t="s">
        <v>75</v>
      </c>
    </row>
    <row r="79" spans="1:7" x14ac:dyDescent="0.3">
      <c r="A79">
        <v>30431</v>
      </c>
      <c r="B79" t="s">
        <v>155</v>
      </c>
      <c r="C79" s="37" t="s">
        <v>56</v>
      </c>
      <c r="D79" t="s">
        <v>11</v>
      </c>
      <c r="E79" t="s">
        <v>121</v>
      </c>
      <c r="F79" t="s">
        <v>83</v>
      </c>
      <c r="G79" t="s">
        <v>75</v>
      </c>
    </row>
    <row r="80" spans="1:7" x14ac:dyDescent="0.3">
      <c r="A80">
        <v>30380</v>
      </c>
      <c r="B80" t="s">
        <v>156</v>
      </c>
      <c r="C80" s="37" t="s">
        <v>56</v>
      </c>
      <c r="D80" t="s">
        <v>11</v>
      </c>
      <c r="E80" t="s">
        <v>121</v>
      </c>
      <c r="F80" t="s">
        <v>83</v>
      </c>
      <c r="G80" t="s">
        <v>75</v>
      </c>
    </row>
    <row r="81" spans="1:7" x14ac:dyDescent="0.3">
      <c r="A81">
        <v>30446</v>
      </c>
      <c r="B81" t="s">
        <v>163</v>
      </c>
      <c r="C81" s="37" t="s">
        <v>56</v>
      </c>
      <c r="D81" t="s">
        <v>11</v>
      </c>
      <c r="E81" t="s">
        <v>121</v>
      </c>
      <c r="F81" t="s">
        <v>83</v>
      </c>
      <c r="G81" t="s">
        <v>75</v>
      </c>
    </row>
    <row r="82" spans="1:7" x14ac:dyDescent="0.3">
      <c r="A82">
        <v>30570</v>
      </c>
      <c r="B82" t="s">
        <v>147</v>
      </c>
      <c r="C82" s="37" t="s">
        <v>56</v>
      </c>
      <c r="D82" t="s">
        <v>10</v>
      </c>
      <c r="E82" t="s">
        <v>175</v>
      </c>
      <c r="G82" t="s">
        <v>75</v>
      </c>
    </row>
    <row r="83" spans="1:7" x14ac:dyDescent="0.3">
      <c r="A83">
        <v>31062</v>
      </c>
      <c r="B83" t="s">
        <v>178</v>
      </c>
      <c r="C83" s="37" t="s">
        <v>56</v>
      </c>
      <c r="D83" t="s">
        <v>10</v>
      </c>
      <c r="E83" t="s">
        <v>179</v>
      </c>
      <c r="G83" t="s">
        <v>75</v>
      </c>
    </row>
    <row r="84" spans="1:7" x14ac:dyDescent="0.3">
      <c r="A84">
        <v>30606</v>
      </c>
      <c r="B84" t="s">
        <v>196</v>
      </c>
      <c r="C84" s="37" t="s">
        <v>56</v>
      </c>
      <c r="D84" t="s">
        <v>10</v>
      </c>
      <c r="E84" t="s">
        <v>195</v>
      </c>
      <c r="F84" t="s">
        <v>174</v>
      </c>
      <c r="G84" t="s">
        <v>75</v>
      </c>
    </row>
    <row r="85" spans="1:7" x14ac:dyDescent="0.3">
      <c r="A85">
        <v>30422</v>
      </c>
      <c r="B85" t="s">
        <v>111</v>
      </c>
      <c r="C85" s="37" t="s">
        <v>57</v>
      </c>
      <c r="D85" t="s">
        <v>109</v>
      </c>
      <c r="E85" t="s">
        <v>90</v>
      </c>
      <c r="G85" t="s">
        <v>92</v>
      </c>
    </row>
    <row r="86" spans="1:7" x14ac:dyDescent="0.3">
      <c r="A86">
        <v>30467</v>
      </c>
      <c r="B86" t="s">
        <v>145</v>
      </c>
      <c r="C86" s="37" t="s">
        <v>57</v>
      </c>
      <c r="D86" t="s">
        <v>11</v>
      </c>
      <c r="E86" t="s">
        <v>121</v>
      </c>
      <c r="F86" t="s">
        <v>83</v>
      </c>
      <c r="G86" t="s">
        <v>75</v>
      </c>
    </row>
    <row r="87" spans="1:7" x14ac:dyDescent="0.3">
      <c r="A87">
        <v>31102</v>
      </c>
      <c r="B87" t="s">
        <v>82</v>
      </c>
      <c r="C87" s="37" t="s">
        <v>57</v>
      </c>
      <c r="D87" t="s">
        <v>11</v>
      </c>
      <c r="E87" t="s">
        <v>121</v>
      </c>
      <c r="F87" t="s">
        <v>83</v>
      </c>
      <c r="G87" t="s">
        <v>75</v>
      </c>
    </row>
    <row r="88" spans="1:7" x14ac:dyDescent="0.3">
      <c r="A88">
        <v>30654</v>
      </c>
      <c r="B88" t="s">
        <v>158</v>
      </c>
      <c r="C88" s="37" t="s">
        <v>57</v>
      </c>
      <c r="D88" t="s">
        <v>11</v>
      </c>
      <c r="E88" t="s">
        <v>121</v>
      </c>
      <c r="F88" t="s">
        <v>83</v>
      </c>
      <c r="G88" t="s">
        <v>75</v>
      </c>
    </row>
    <row r="89" spans="1:7" x14ac:dyDescent="0.3">
      <c r="A89">
        <v>30571</v>
      </c>
      <c r="B89" t="s">
        <v>160</v>
      </c>
      <c r="C89" s="37" t="s">
        <v>57</v>
      </c>
      <c r="D89" t="s">
        <v>11</v>
      </c>
      <c r="E89" t="s">
        <v>121</v>
      </c>
      <c r="F89" t="s">
        <v>83</v>
      </c>
      <c r="G89" t="s">
        <v>75</v>
      </c>
    </row>
    <row r="90" spans="1:7" x14ac:dyDescent="0.3">
      <c r="A90">
        <v>30571</v>
      </c>
      <c r="B90" t="s">
        <v>160</v>
      </c>
      <c r="C90" s="37" t="s">
        <v>57</v>
      </c>
      <c r="D90" t="s">
        <v>10</v>
      </c>
      <c r="E90" t="s">
        <v>187</v>
      </c>
      <c r="F90" t="s">
        <v>174</v>
      </c>
      <c r="G90" t="s">
        <v>75</v>
      </c>
    </row>
    <row r="91" spans="1:7" x14ac:dyDescent="0.3">
      <c r="A91">
        <v>30623</v>
      </c>
      <c r="B91" t="s">
        <v>188</v>
      </c>
      <c r="C91" s="37" t="s">
        <v>58</v>
      </c>
      <c r="D91" t="s">
        <v>10</v>
      </c>
      <c r="E91" t="s">
        <v>187</v>
      </c>
      <c r="F91" t="s">
        <v>174</v>
      </c>
      <c r="G91" t="s">
        <v>75</v>
      </c>
    </row>
    <row r="92" spans="1:7" x14ac:dyDescent="0.3">
      <c r="A92">
        <v>30502</v>
      </c>
      <c r="B92" t="s">
        <v>144</v>
      </c>
      <c r="C92" s="37" t="s">
        <v>59</v>
      </c>
      <c r="D92" t="s">
        <v>11</v>
      </c>
      <c r="E92" t="s">
        <v>121</v>
      </c>
      <c r="F92" t="s">
        <v>83</v>
      </c>
      <c r="G92" t="s">
        <v>75</v>
      </c>
    </row>
    <row r="93" spans="1:7" x14ac:dyDescent="0.3">
      <c r="A93">
        <v>30655</v>
      </c>
      <c r="B93" t="s">
        <v>153</v>
      </c>
      <c r="C93" s="37" t="s">
        <v>59</v>
      </c>
      <c r="D93" t="s">
        <v>11</v>
      </c>
      <c r="E93" t="s">
        <v>121</v>
      </c>
      <c r="F93" t="s">
        <v>83</v>
      </c>
      <c r="G93" t="s">
        <v>75</v>
      </c>
    </row>
    <row r="94" spans="1:7" x14ac:dyDescent="0.3">
      <c r="A94">
        <v>30456</v>
      </c>
      <c r="B94" t="s">
        <v>157</v>
      </c>
      <c r="C94" s="37" t="s">
        <v>59</v>
      </c>
      <c r="D94" t="s">
        <v>11</v>
      </c>
      <c r="E94" t="s">
        <v>121</v>
      </c>
      <c r="F94" t="s">
        <v>83</v>
      </c>
      <c r="G94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54DE-180D-4F4C-974B-B605135BFE8B}">
  <dimension ref="A2:C14"/>
  <sheetViews>
    <sheetView workbookViewId="0">
      <selection activeCell="B16" sqref="B16"/>
    </sheetView>
  </sheetViews>
  <sheetFormatPr defaultRowHeight="14.4" x14ac:dyDescent="0.3"/>
  <cols>
    <col min="2" max="2" width="20.5546875" customWidth="1"/>
    <col min="3" max="3" width="8.88671875" style="37"/>
  </cols>
  <sheetData>
    <row r="2" spans="1:3" x14ac:dyDescent="0.3">
      <c r="A2" t="s">
        <v>205</v>
      </c>
      <c r="B2" t="s">
        <v>206</v>
      </c>
      <c r="C2" s="37" t="s">
        <v>39</v>
      </c>
    </row>
    <row r="3" spans="1:3" x14ac:dyDescent="0.3">
      <c r="A3" t="s">
        <v>215</v>
      </c>
      <c r="B3" t="s">
        <v>216</v>
      </c>
      <c r="C3" s="37" t="s">
        <v>41</v>
      </c>
    </row>
    <row r="4" spans="1:3" x14ac:dyDescent="0.3">
      <c r="A4" t="s">
        <v>219</v>
      </c>
      <c r="B4" t="s">
        <v>220</v>
      </c>
      <c r="C4" s="37" t="s">
        <v>49</v>
      </c>
    </row>
    <row r="5" spans="1:3" x14ac:dyDescent="0.3">
      <c r="A5" t="s">
        <v>201</v>
      </c>
      <c r="B5" t="s">
        <v>202</v>
      </c>
      <c r="C5" s="37" t="s">
        <v>58</v>
      </c>
    </row>
    <row r="6" spans="1:3" x14ac:dyDescent="0.3">
      <c r="A6" t="s">
        <v>203</v>
      </c>
      <c r="B6" t="s">
        <v>204</v>
      </c>
      <c r="C6" s="37" t="s">
        <v>17</v>
      </c>
    </row>
    <row r="7" spans="1:3" x14ac:dyDescent="0.3">
      <c r="A7" t="s">
        <v>217</v>
      </c>
      <c r="B7" t="s">
        <v>218</v>
      </c>
      <c r="C7" s="37" t="s">
        <v>18</v>
      </c>
    </row>
    <row r="8" spans="1:3" x14ac:dyDescent="0.3">
      <c r="A8" t="s">
        <v>221</v>
      </c>
      <c r="B8" t="s">
        <v>222</v>
      </c>
      <c r="C8" s="37" t="s">
        <v>18</v>
      </c>
    </row>
    <row r="9" spans="1:3" x14ac:dyDescent="0.3">
      <c r="A9" t="s">
        <v>223</v>
      </c>
      <c r="B9" t="s">
        <v>188</v>
      </c>
      <c r="C9" s="37" t="s">
        <v>18</v>
      </c>
    </row>
    <row r="10" spans="1:3" x14ac:dyDescent="0.3">
      <c r="A10" t="s">
        <v>211</v>
      </c>
      <c r="B10" t="s">
        <v>212</v>
      </c>
      <c r="C10" s="37" t="s">
        <v>60</v>
      </c>
    </row>
    <row r="11" spans="1:3" x14ac:dyDescent="0.3">
      <c r="A11" t="s">
        <v>209</v>
      </c>
      <c r="B11" t="s">
        <v>210</v>
      </c>
      <c r="C11" s="37" t="s">
        <v>20</v>
      </c>
    </row>
    <row r="12" spans="1:3" x14ac:dyDescent="0.3">
      <c r="A12" t="s">
        <v>207</v>
      </c>
      <c r="B12" t="s">
        <v>208</v>
      </c>
      <c r="C12" s="37" t="s">
        <v>21</v>
      </c>
    </row>
    <row r="13" spans="1:3" x14ac:dyDescent="0.3">
      <c r="A13" t="s">
        <v>213</v>
      </c>
      <c r="B13" t="s">
        <v>214</v>
      </c>
      <c r="C13" s="37" t="s">
        <v>21</v>
      </c>
    </row>
    <row r="14" spans="1:3" x14ac:dyDescent="0.3">
      <c r="A14" t="s">
        <v>224</v>
      </c>
      <c r="B14" t="s">
        <v>225</v>
      </c>
      <c r="C14" s="37" t="s">
        <v>68</v>
      </c>
    </row>
  </sheetData>
  <autoFilter ref="C1:C14" xr:uid="{929A54DE-180D-4F4C-974B-B605135BFE8B}">
    <sortState xmlns:xlrd2="http://schemas.microsoft.com/office/spreadsheetml/2017/richdata2" ref="A2:C14">
      <sortCondition ref="C1:C14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1E883-1F1B-45E0-9796-E04A84ED7AED}">
  <dimension ref="A2:G96"/>
  <sheetViews>
    <sheetView workbookViewId="0">
      <selection activeCell="C2" sqref="C2"/>
    </sheetView>
  </sheetViews>
  <sheetFormatPr defaultRowHeight="14.4" x14ac:dyDescent="0.3"/>
  <cols>
    <col min="2" max="2" width="22" customWidth="1"/>
    <col min="3" max="3" width="11.88671875" customWidth="1"/>
    <col min="4" max="4" width="36.88671875" customWidth="1"/>
    <col min="5" max="5" width="19.33203125" customWidth="1"/>
    <col min="6" max="6" width="50.5546875" customWidth="1"/>
  </cols>
  <sheetData>
    <row r="2" spans="1:7" x14ac:dyDescent="0.3">
      <c r="C2" t="s">
        <v>34</v>
      </c>
      <c r="D2" t="s">
        <v>95</v>
      </c>
      <c r="E2" t="s">
        <v>96</v>
      </c>
      <c r="F2" t="s">
        <v>97</v>
      </c>
      <c r="G2" t="s">
        <v>75</v>
      </c>
    </row>
    <row r="3" spans="1:7" x14ac:dyDescent="0.3">
      <c r="A3">
        <v>31251</v>
      </c>
      <c r="B3" t="s">
        <v>98</v>
      </c>
      <c r="C3" t="s">
        <v>35</v>
      </c>
      <c r="D3" t="s">
        <v>11</v>
      </c>
      <c r="E3" t="s">
        <v>99</v>
      </c>
      <c r="F3" t="s">
        <v>83</v>
      </c>
      <c r="G3" t="s">
        <v>75</v>
      </c>
    </row>
    <row r="4" spans="1:7" x14ac:dyDescent="0.3">
      <c r="A4">
        <v>31347</v>
      </c>
      <c r="B4" t="s">
        <v>177</v>
      </c>
      <c r="C4" t="s">
        <v>36</v>
      </c>
      <c r="D4" t="s">
        <v>10</v>
      </c>
      <c r="E4" t="s">
        <v>176</v>
      </c>
      <c r="G4" t="s">
        <v>75</v>
      </c>
    </row>
    <row r="5" spans="1:7" x14ac:dyDescent="0.3">
      <c r="A5">
        <v>31341</v>
      </c>
      <c r="B5" t="s">
        <v>79</v>
      </c>
      <c r="C5" t="s">
        <v>37</v>
      </c>
      <c r="D5" t="s">
        <v>80</v>
      </c>
      <c r="E5" t="s">
        <v>77</v>
      </c>
      <c r="G5" t="s">
        <v>75</v>
      </c>
    </row>
    <row r="6" spans="1:7" x14ac:dyDescent="0.3">
      <c r="A6">
        <v>31280</v>
      </c>
      <c r="B6" t="s">
        <v>81</v>
      </c>
      <c r="C6" t="s">
        <v>37</v>
      </c>
      <c r="D6" t="s">
        <v>80</v>
      </c>
      <c r="E6" t="s">
        <v>77</v>
      </c>
      <c r="G6" t="s">
        <v>75</v>
      </c>
    </row>
    <row r="7" spans="1:7" x14ac:dyDescent="0.3">
      <c r="A7">
        <v>31194</v>
      </c>
      <c r="B7" t="s">
        <v>112</v>
      </c>
      <c r="C7" t="s">
        <v>38</v>
      </c>
      <c r="D7" t="s">
        <v>109</v>
      </c>
      <c r="G7" t="s">
        <v>92</v>
      </c>
    </row>
    <row r="8" spans="1:7" x14ac:dyDescent="0.3">
      <c r="A8">
        <v>31250</v>
      </c>
      <c r="B8" t="s">
        <v>113</v>
      </c>
      <c r="C8" t="s">
        <v>38</v>
      </c>
      <c r="D8" t="s">
        <v>109</v>
      </c>
      <c r="F8" t="s">
        <v>114</v>
      </c>
      <c r="G8" t="s">
        <v>92</v>
      </c>
    </row>
    <row r="9" spans="1:7" x14ac:dyDescent="0.3">
      <c r="A9">
        <v>31250</v>
      </c>
      <c r="B9" t="s">
        <v>113</v>
      </c>
      <c r="C9" t="s">
        <v>38</v>
      </c>
      <c r="D9" t="s">
        <v>89</v>
      </c>
      <c r="F9" t="s">
        <v>115</v>
      </c>
      <c r="G9" t="s">
        <v>92</v>
      </c>
    </row>
    <row r="10" spans="1:7" x14ac:dyDescent="0.3">
      <c r="A10">
        <v>31159</v>
      </c>
      <c r="B10" t="s">
        <v>116</v>
      </c>
      <c r="C10" t="s">
        <v>38</v>
      </c>
      <c r="D10" t="s">
        <v>89</v>
      </c>
      <c r="F10" t="s">
        <v>115</v>
      </c>
      <c r="G10" t="s">
        <v>92</v>
      </c>
    </row>
    <row r="11" spans="1:7" x14ac:dyDescent="0.3">
      <c r="A11">
        <v>30995</v>
      </c>
      <c r="B11" t="s">
        <v>186</v>
      </c>
      <c r="C11" t="s">
        <v>41</v>
      </c>
      <c r="D11" t="s">
        <v>10</v>
      </c>
      <c r="E11" t="s">
        <v>187</v>
      </c>
      <c r="G11" t="s">
        <v>75</v>
      </c>
    </row>
    <row r="12" spans="1:7" x14ac:dyDescent="0.3">
      <c r="A12">
        <v>30896</v>
      </c>
      <c r="B12" t="s">
        <v>184</v>
      </c>
      <c r="C12" t="s">
        <v>42</v>
      </c>
      <c r="D12" t="s">
        <v>10</v>
      </c>
      <c r="E12" t="s">
        <v>185</v>
      </c>
      <c r="F12" t="s">
        <v>174</v>
      </c>
      <c r="G12" t="s">
        <v>75</v>
      </c>
    </row>
    <row r="13" spans="1:7" x14ac:dyDescent="0.3">
      <c r="A13">
        <v>30793</v>
      </c>
      <c r="B13" t="s">
        <v>84</v>
      </c>
      <c r="C13" t="s">
        <v>44</v>
      </c>
      <c r="D13" t="s">
        <v>85</v>
      </c>
      <c r="E13" t="s">
        <v>86</v>
      </c>
      <c r="F13" t="s">
        <v>87</v>
      </c>
      <c r="G13" t="s">
        <v>75</v>
      </c>
    </row>
    <row r="14" spans="1:7" x14ac:dyDescent="0.3">
      <c r="A14">
        <v>31003</v>
      </c>
      <c r="B14" t="s">
        <v>128</v>
      </c>
      <c r="C14" t="s">
        <v>44</v>
      </c>
      <c r="D14" t="s">
        <v>11</v>
      </c>
      <c r="E14" t="s">
        <v>121</v>
      </c>
      <c r="F14" t="s">
        <v>83</v>
      </c>
      <c r="G14" t="s">
        <v>75</v>
      </c>
    </row>
    <row r="15" spans="1:7" x14ac:dyDescent="0.3">
      <c r="A15">
        <v>31028</v>
      </c>
      <c r="B15" t="s">
        <v>148</v>
      </c>
      <c r="C15" t="s">
        <v>44</v>
      </c>
      <c r="D15" t="s">
        <v>11</v>
      </c>
      <c r="E15" t="s">
        <v>121</v>
      </c>
      <c r="G15" t="s">
        <v>75</v>
      </c>
    </row>
    <row r="16" spans="1:7" x14ac:dyDescent="0.3">
      <c r="A16">
        <v>30975</v>
      </c>
      <c r="B16" t="s">
        <v>149</v>
      </c>
      <c r="C16" t="s">
        <v>44</v>
      </c>
      <c r="D16" t="s">
        <v>11</v>
      </c>
      <c r="E16" t="s">
        <v>121</v>
      </c>
      <c r="G16" t="s">
        <v>75</v>
      </c>
    </row>
    <row r="17" spans="1:7" x14ac:dyDescent="0.3">
      <c r="A17">
        <v>30936</v>
      </c>
      <c r="B17" t="s">
        <v>129</v>
      </c>
      <c r="C17" t="s">
        <v>45</v>
      </c>
      <c r="D17" t="s">
        <v>11</v>
      </c>
      <c r="E17" t="s">
        <v>121</v>
      </c>
      <c r="F17" t="s">
        <v>83</v>
      </c>
      <c r="G17" t="s">
        <v>75</v>
      </c>
    </row>
    <row r="18" spans="1:7" x14ac:dyDescent="0.3">
      <c r="A18">
        <v>30899</v>
      </c>
      <c r="B18" t="s">
        <v>130</v>
      </c>
      <c r="C18" t="s">
        <v>45</v>
      </c>
      <c r="D18" t="s">
        <v>11</v>
      </c>
      <c r="E18" t="s">
        <v>121</v>
      </c>
      <c r="F18" t="s">
        <v>83</v>
      </c>
      <c r="G18" t="s">
        <v>75</v>
      </c>
    </row>
    <row r="19" spans="1:7" x14ac:dyDescent="0.3">
      <c r="A19">
        <v>31000</v>
      </c>
      <c r="B19" t="s">
        <v>131</v>
      </c>
      <c r="C19" t="s">
        <v>46</v>
      </c>
      <c r="D19" t="s">
        <v>11</v>
      </c>
      <c r="E19" t="s">
        <v>121</v>
      </c>
      <c r="F19" t="s">
        <v>83</v>
      </c>
      <c r="G19" t="s">
        <v>75</v>
      </c>
    </row>
    <row r="20" spans="1:7" x14ac:dyDescent="0.3">
      <c r="A20">
        <v>31337</v>
      </c>
      <c r="B20" t="s">
        <v>137</v>
      </c>
      <c r="C20" t="s">
        <v>46</v>
      </c>
      <c r="D20" t="s">
        <v>11</v>
      </c>
      <c r="E20" t="s">
        <v>121</v>
      </c>
      <c r="F20" t="s">
        <v>83</v>
      </c>
      <c r="G20" t="s">
        <v>75</v>
      </c>
    </row>
    <row r="21" spans="1:7" x14ac:dyDescent="0.3">
      <c r="A21">
        <v>30771</v>
      </c>
      <c r="B21" t="s">
        <v>138</v>
      </c>
      <c r="C21" t="s">
        <v>46</v>
      </c>
      <c r="D21" t="s">
        <v>11</v>
      </c>
      <c r="E21" t="s">
        <v>121</v>
      </c>
      <c r="F21" t="s">
        <v>83</v>
      </c>
      <c r="G21" t="s">
        <v>75</v>
      </c>
    </row>
    <row r="22" spans="1:7" x14ac:dyDescent="0.3">
      <c r="A22">
        <v>31176</v>
      </c>
      <c r="B22" t="s">
        <v>134</v>
      </c>
      <c r="C22" t="s">
        <v>47</v>
      </c>
      <c r="D22" t="s">
        <v>11</v>
      </c>
      <c r="E22" t="s">
        <v>121</v>
      </c>
      <c r="F22" t="s">
        <v>83</v>
      </c>
      <c r="G22" t="s">
        <v>75</v>
      </c>
    </row>
    <row r="23" spans="1:7" x14ac:dyDescent="0.3">
      <c r="A23">
        <v>30779</v>
      </c>
      <c r="B23" t="s">
        <v>135</v>
      </c>
      <c r="C23" t="s">
        <v>47</v>
      </c>
      <c r="D23" t="s">
        <v>11</v>
      </c>
      <c r="E23" t="s">
        <v>121</v>
      </c>
      <c r="F23" t="s">
        <v>83</v>
      </c>
      <c r="G23" t="s">
        <v>75</v>
      </c>
    </row>
    <row r="24" spans="1:7" x14ac:dyDescent="0.3">
      <c r="A24">
        <v>30747</v>
      </c>
      <c r="B24" t="s">
        <v>136</v>
      </c>
      <c r="C24" t="s">
        <v>47</v>
      </c>
      <c r="D24" t="s">
        <v>11</v>
      </c>
      <c r="E24" t="s">
        <v>121</v>
      </c>
      <c r="F24" t="s">
        <v>83</v>
      </c>
      <c r="G24" t="s">
        <v>75</v>
      </c>
    </row>
    <row r="25" spans="1:7" x14ac:dyDescent="0.3">
      <c r="A25">
        <v>30735</v>
      </c>
      <c r="B25" t="s">
        <v>181</v>
      </c>
      <c r="C25" t="s">
        <v>47</v>
      </c>
      <c r="D25" t="s">
        <v>10</v>
      </c>
      <c r="E25" t="s">
        <v>179</v>
      </c>
      <c r="G25" t="s">
        <v>75</v>
      </c>
    </row>
    <row r="26" spans="1:7" x14ac:dyDescent="0.3">
      <c r="A26">
        <v>30795</v>
      </c>
      <c r="B26" t="s">
        <v>194</v>
      </c>
      <c r="C26" t="s">
        <v>47</v>
      </c>
      <c r="D26" t="s">
        <v>10</v>
      </c>
      <c r="E26" t="s">
        <v>195</v>
      </c>
      <c r="G26" t="s">
        <v>75</v>
      </c>
    </row>
    <row r="27" spans="1:7" x14ac:dyDescent="0.3">
      <c r="A27">
        <v>31038</v>
      </c>
      <c r="B27" t="s">
        <v>133</v>
      </c>
      <c r="C27" t="s">
        <v>48</v>
      </c>
      <c r="D27" t="s">
        <v>11</v>
      </c>
      <c r="E27" t="s">
        <v>121</v>
      </c>
      <c r="F27" t="s">
        <v>83</v>
      </c>
      <c r="G27" t="s">
        <v>75</v>
      </c>
    </row>
    <row r="28" spans="1:7" x14ac:dyDescent="0.3">
      <c r="A28">
        <v>30843</v>
      </c>
      <c r="B28" t="s">
        <v>132</v>
      </c>
      <c r="C28" t="s">
        <v>49</v>
      </c>
      <c r="D28" t="s">
        <v>11</v>
      </c>
      <c r="E28" t="s">
        <v>121</v>
      </c>
      <c r="F28" t="s">
        <v>83</v>
      </c>
      <c r="G28" t="s">
        <v>75</v>
      </c>
    </row>
    <row r="29" spans="1:7" x14ac:dyDescent="0.3">
      <c r="A29">
        <v>30476</v>
      </c>
      <c r="B29" t="s">
        <v>141</v>
      </c>
      <c r="C29" t="s">
        <v>50</v>
      </c>
      <c r="D29" t="s">
        <v>11</v>
      </c>
      <c r="E29" t="s">
        <v>121</v>
      </c>
      <c r="F29" t="s">
        <v>83</v>
      </c>
      <c r="G29" t="s">
        <v>75</v>
      </c>
    </row>
    <row r="30" spans="1:7" x14ac:dyDescent="0.3">
      <c r="A30">
        <v>30502</v>
      </c>
      <c r="B30" t="s">
        <v>144</v>
      </c>
      <c r="C30" t="s">
        <v>59</v>
      </c>
      <c r="D30" t="s">
        <v>11</v>
      </c>
      <c r="E30" t="s">
        <v>121</v>
      </c>
      <c r="F30" t="s">
        <v>83</v>
      </c>
      <c r="G30" t="s">
        <v>75</v>
      </c>
    </row>
    <row r="31" spans="1:7" x14ac:dyDescent="0.3">
      <c r="A31">
        <v>30655</v>
      </c>
      <c r="B31" t="s">
        <v>153</v>
      </c>
      <c r="C31" t="s">
        <v>59</v>
      </c>
      <c r="D31" t="s">
        <v>11</v>
      </c>
      <c r="E31" t="s">
        <v>121</v>
      </c>
      <c r="F31" t="s">
        <v>83</v>
      </c>
      <c r="G31" t="s">
        <v>75</v>
      </c>
    </row>
    <row r="32" spans="1:7" x14ac:dyDescent="0.3">
      <c r="A32">
        <v>30456</v>
      </c>
      <c r="B32" t="s">
        <v>157</v>
      </c>
      <c r="C32" t="s">
        <v>59</v>
      </c>
      <c r="D32" t="s">
        <v>11</v>
      </c>
      <c r="E32" t="s">
        <v>121</v>
      </c>
      <c r="F32" t="s">
        <v>83</v>
      </c>
      <c r="G32" t="s">
        <v>75</v>
      </c>
    </row>
    <row r="33" spans="1:7" x14ac:dyDescent="0.3">
      <c r="A33">
        <v>30419</v>
      </c>
      <c r="B33" t="s">
        <v>142</v>
      </c>
      <c r="C33" t="s">
        <v>51</v>
      </c>
      <c r="D33" t="s">
        <v>11</v>
      </c>
      <c r="E33" t="s">
        <v>121</v>
      </c>
      <c r="F33" t="s">
        <v>83</v>
      </c>
      <c r="G33" t="s">
        <v>75</v>
      </c>
    </row>
    <row r="34" spans="1:7" x14ac:dyDescent="0.3">
      <c r="A34">
        <v>30566</v>
      </c>
      <c r="B34" t="s">
        <v>143</v>
      </c>
      <c r="C34" t="s">
        <v>51</v>
      </c>
      <c r="D34" t="s">
        <v>11</v>
      </c>
      <c r="E34" t="s">
        <v>121</v>
      </c>
      <c r="F34" t="s">
        <v>83</v>
      </c>
      <c r="G34" t="s">
        <v>75</v>
      </c>
    </row>
    <row r="35" spans="1:7" x14ac:dyDescent="0.3">
      <c r="A35">
        <v>30413</v>
      </c>
      <c r="B35" t="s">
        <v>150</v>
      </c>
      <c r="C35" t="s">
        <v>51</v>
      </c>
      <c r="D35" t="s">
        <v>11</v>
      </c>
      <c r="E35" t="s">
        <v>121</v>
      </c>
      <c r="F35" t="s">
        <v>83</v>
      </c>
      <c r="G35" t="s">
        <v>75</v>
      </c>
    </row>
    <row r="36" spans="1:7" x14ac:dyDescent="0.3">
      <c r="A36">
        <v>30504</v>
      </c>
      <c r="B36" t="s">
        <v>162</v>
      </c>
      <c r="C36" t="s">
        <v>51</v>
      </c>
      <c r="D36" t="s">
        <v>11</v>
      </c>
      <c r="E36" t="s">
        <v>121</v>
      </c>
      <c r="F36" t="s">
        <v>83</v>
      </c>
      <c r="G36" t="s">
        <v>75</v>
      </c>
    </row>
    <row r="37" spans="1:7" x14ac:dyDescent="0.3">
      <c r="A37">
        <v>30682</v>
      </c>
      <c r="B37" t="s">
        <v>190</v>
      </c>
      <c r="C37" t="s">
        <v>51</v>
      </c>
      <c r="D37" t="s">
        <v>10</v>
      </c>
      <c r="E37" t="s">
        <v>187</v>
      </c>
      <c r="G37" t="s">
        <v>75</v>
      </c>
    </row>
    <row r="38" spans="1:7" x14ac:dyDescent="0.3">
      <c r="A38">
        <v>30678</v>
      </c>
      <c r="B38" t="s">
        <v>117</v>
      </c>
      <c r="C38" t="s">
        <v>52</v>
      </c>
      <c r="D38" t="s">
        <v>109</v>
      </c>
      <c r="E38" t="s">
        <v>90</v>
      </c>
      <c r="G38" t="s">
        <v>92</v>
      </c>
    </row>
    <row r="39" spans="1:7" x14ac:dyDescent="0.3">
      <c r="A39">
        <v>30678</v>
      </c>
      <c r="B39" t="s">
        <v>117</v>
      </c>
      <c r="C39" t="s">
        <v>52</v>
      </c>
      <c r="D39" t="s">
        <v>11</v>
      </c>
      <c r="E39" t="s">
        <v>121</v>
      </c>
      <c r="F39" t="s">
        <v>83</v>
      </c>
      <c r="G39" t="s">
        <v>75</v>
      </c>
    </row>
    <row r="40" spans="1:7" x14ac:dyDescent="0.3">
      <c r="A40">
        <v>30711</v>
      </c>
      <c r="B40" t="s">
        <v>152</v>
      </c>
      <c r="C40" t="s">
        <v>52</v>
      </c>
      <c r="D40" t="s">
        <v>11</v>
      </c>
      <c r="E40" t="s">
        <v>121</v>
      </c>
      <c r="F40" t="s">
        <v>83</v>
      </c>
      <c r="G40" t="s">
        <v>75</v>
      </c>
    </row>
    <row r="41" spans="1:7" x14ac:dyDescent="0.3">
      <c r="A41">
        <v>30676</v>
      </c>
      <c r="B41" t="s">
        <v>159</v>
      </c>
      <c r="C41" t="s">
        <v>52</v>
      </c>
      <c r="D41" t="s">
        <v>11</v>
      </c>
      <c r="E41" t="s">
        <v>121</v>
      </c>
      <c r="F41" t="s">
        <v>83</v>
      </c>
      <c r="G41" t="s">
        <v>75</v>
      </c>
    </row>
    <row r="42" spans="1:7" x14ac:dyDescent="0.3">
      <c r="A42">
        <v>30388</v>
      </c>
      <c r="B42" t="s">
        <v>161</v>
      </c>
      <c r="C42" t="s">
        <v>52</v>
      </c>
      <c r="D42" t="s">
        <v>11</v>
      </c>
      <c r="E42" t="s">
        <v>121</v>
      </c>
      <c r="F42" t="s">
        <v>83</v>
      </c>
      <c r="G42" t="s">
        <v>75</v>
      </c>
    </row>
    <row r="43" spans="1:7" x14ac:dyDescent="0.3">
      <c r="A43">
        <v>30445</v>
      </c>
      <c r="B43" t="s">
        <v>180</v>
      </c>
      <c r="C43" t="s">
        <v>52</v>
      </c>
      <c r="D43" t="s">
        <v>10</v>
      </c>
      <c r="E43" t="s">
        <v>165</v>
      </c>
      <c r="G43" t="s">
        <v>75</v>
      </c>
    </row>
    <row r="44" spans="1:7" x14ac:dyDescent="0.3">
      <c r="A44">
        <v>30485</v>
      </c>
      <c r="B44" t="s">
        <v>191</v>
      </c>
      <c r="C44" t="s">
        <v>52</v>
      </c>
      <c r="D44" t="s">
        <v>10</v>
      </c>
      <c r="E44" t="s">
        <v>187</v>
      </c>
      <c r="F44" t="s">
        <v>174</v>
      </c>
      <c r="G44" t="s">
        <v>75</v>
      </c>
    </row>
    <row r="45" spans="1:7" x14ac:dyDescent="0.3">
      <c r="A45">
        <v>30518</v>
      </c>
      <c r="B45" t="s">
        <v>192</v>
      </c>
      <c r="C45" t="s">
        <v>53</v>
      </c>
      <c r="D45" t="s">
        <v>10</v>
      </c>
      <c r="E45" t="s">
        <v>193</v>
      </c>
      <c r="F45" t="s">
        <v>174</v>
      </c>
      <c r="G45" t="s">
        <v>75</v>
      </c>
    </row>
    <row r="46" spans="1:7" x14ac:dyDescent="0.3">
      <c r="A46">
        <v>30412</v>
      </c>
      <c r="B46" t="s">
        <v>119</v>
      </c>
      <c r="C46" t="s">
        <v>54</v>
      </c>
      <c r="D46" t="s">
        <v>109</v>
      </c>
      <c r="E46" t="s">
        <v>90</v>
      </c>
      <c r="G46" t="s">
        <v>92</v>
      </c>
    </row>
    <row r="47" spans="1:7" x14ac:dyDescent="0.3">
      <c r="A47">
        <v>30423</v>
      </c>
      <c r="B47" t="s">
        <v>72</v>
      </c>
      <c r="C47" t="s">
        <v>55</v>
      </c>
      <c r="D47" t="s">
        <v>11</v>
      </c>
      <c r="E47" t="s">
        <v>73</v>
      </c>
      <c r="F47" t="s">
        <v>74</v>
      </c>
      <c r="G47" t="s">
        <v>75</v>
      </c>
    </row>
    <row r="48" spans="1:7" x14ac:dyDescent="0.3">
      <c r="A48">
        <v>31086</v>
      </c>
      <c r="B48" t="s">
        <v>118</v>
      </c>
      <c r="C48" t="s">
        <v>55</v>
      </c>
      <c r="D48" t="s">
        <v>109</v>
      </c>
      <c r="E48" t="s">
        <v>90</v>
      </c>
      <c r="G48" t="s">
        <v>92</v>
      </c>
    </row>
    <row r="49" spans="1:7" x14ac:dyDescent="0.3">
      <c r="A49">
        <v>30638</v>
      </c>
      <c r="B49" t="s">
        <v>139</v>
      </c>
      <c r="C49" t="s">
        <v>55</v>
      </c>
      <c r="D49" t="s">
        <v>11</v>
      </c>
      <c r="E49" t="s">
        <v>121</v>
      </c>
      <c r="F49" t="s">
        <v>83</v>
      </c>
      <c r="G49" t="s">
        <v>75</v>
      </c>
    </row>
    <row r="50" spans="1:7" x14ac:dyDescent="0.3">
      <c r="A50">
        <v>30559</v>
      </c>
      <c r="B50" t="s">
        <v>140</v>
      </c>
      <c r="C50" t="s">
        <v>55</v>
      </c>
      <c r="D50" t="s">
        <v>11</v>
      </c>
      <c r="E50" t="s">
        <v>121</v>
      </c>
      <c r="F50" t="s">
        <v>83</v>
      </c>
      <c r="G50" t="s">
        <v>75</v>
      </c>
    </row>
    <row r="51" spans="1:7" x14ac:dyDescent="0.3">
      <c r="A51">
        <v>30423</v>
      </c>
      <c r="B51" t="s">
        <v>72</v>
      </c>
      <c r="C51" t="s">
        <v>55</v>
      </c>
      <c r="D51" t="s">
        <v>11</v>
      </c>
      <c r="E51" t="s">
        <v>121</v>
      </c>
      <c r="F51" t="s">
        <v>83</v>
      </c>
      <c r="G51" t="s">
        <v>75</v>
      </c>
    </row>
    <row r="52" spans="1:7" x14ac:dyDescent="0.3">
      <c r="A52">
        <v>31086</v>
      </c>
      <c r="B52" t="s">
        <v>118</v>
      </c>
      <c r="C52" t="s">
        <v>55</v>
      </c>
      <c r="D52" t="s">
        <v>10</v>
      </c>
      <c r="E52" t="s">
        <v>176</v>
      </c>
      <c r="G52" t="s">
        <v>75</v>
      </c>
    </row>
    <row r="53" spans="1:7" x14ac:dyDescent="0.3">
      <c r="A53">
        <v>30704</v>
      </c>
      <c r="B53" t="s">
        <v>182</v>
      </c>
      <c r="C53" t="s">
        <v>55</v>
      </c>
      <c r="D53" t="s">
        <v>10</v>
      </c>
      <c r="E53" t="s">
        <v>183</v>
      </c>
      <c r="G53" t="s">
        <v>75</v>
      </c>
    </row>
    <row r="54" spans="1:7" x14ac:dyDescent="0.3">
      <c r="A54">
        <v>30597</v>
      </c>
      <c r="B54" t="s">
        <v>189</v>
      </c>
      <c r="C54" t="s">
        <v>55</v>
      </c>
      <c r="D54" t="s">
        <v>10</v>
      </c>
      <c r="E54" t="s">
        <v>187</v>
      </c>
      <c r="G54" t="s">
        <v>75</v>
      </c>
    </row>
    <row r="55" spans="1:7" x14ac:dyDescent="0.3">
      <c r="A55">
        <v>30399</v>
      </c>
      <c r="B55" t="s">
        <v>76</v>
      </c>
      <c r="C55" t="s">
        <v>56</v>
      </c>
      <c r="D55" t="s">
        <v>11</v>
      </c>
      <c r="E55" t="s">
        <v>77</v>
      </c>
      <c r="F55" t="s">
        <v>78</v>
      </c>
      <c r="G55" t="s">
        <v>75</v>
      </c>
    </row>
    <row r="56" spans="1:7" x14ac:dyDescent="0.3">
      <c r="A56">
        <v>30432</v>
      </c>
      <c r="B56" t="s">
        <v>146</v>
      </c>
      <c r="C56" t="s">
        <v>56</v>
      </c>
      <c r="D56" t="s">
        <v>11</v>
      </c>
      <c r="E56" t="s">
        <v>121</v>
      </c>
      <c r="F56" t="s">
        <v>83</v>
      </c>
      <c r="G56" t="s">
        <v>75</v>
      </c>
    </row>
    <row r="57" spans="1:7" x14ac:dyDescent="0.3">
      <c r="A57">
        <v>30570</v>
      </c>
      <c r="B57" t="s">
        <v>147</v>
      </c>
      <c r="C57" t="s">
        <v>56</v>
      </c>
      <c r="D57" t="s">
        <v>11</v>
      </c>
      <c r="E57" t="s">
        <v>121</v>
      </c>
      <c r="F57" t="s">
        <v>83</v>
      </c>
      <c r="G57" t="s">
        <v>75</v>
      </c>
    </row>
    <row r="58" spans="1:7" x14ac:dyDescent="0.3">
      <c r="A58">
        <v>31103</v>
      </c>
      <c r="B58" t="s">
        <v>151</v>
      </c>
      <c r="C58" t="s">
        <v>56</v>
      </c>
      <c r="D58" t="s">
        <v>11</v>
      </c>
      <c r="E58" t="s">
        <v>121</v>
      </c>
      <c r="F58" t="s">
        <v>83</v>
      </c>
      <c r="G58" t="s">
        <v>75</v>
      </c>
    </row>
    <row r="59" spans="1:7" x14ac:dyDescent="0.3">
      <c r="A59">
        <v>30710</v>
      </c>
      <c r="B59" t="s">
        <v>154</v>
      </c>
      <c r="C59" t="s">
        <v>56</v>
      </c>
      <c r="D59" t="s">
        <v>11</v>
      </c>
      <c r="E59" t="s">
        <v>121</v>
      </c>
      <c r="F59" t="s">
        <v>83</v>
      </c>
      <c r="G59" t="s">
        <v>75</v>
      </c>
    </row>
    <row r="60" spans="1:7" x14ac:dyDescent="0.3">
      <c r="A60">
        <v>30431</v>
      </c>
      <c r="B60" t="s">
        <v>155</v>
      </c>
      <c r="C60" t="s">
        <v>56</v>
      </c>
      <c r="D60" t="s">
        <v>11</v>
      </c>
      <c r="E60" t="s">
        <v>121</v>
      </c>
      <c r="F60" t="s">
        <v>83</v>
      </c>
      <c r="G60" t="s">
        <v>75</v>
      </c>
    </row>
    <row r="61" spans="1:7" x14ac:dyDescent="0.3">
      <c r="A61">
        <v>30380</v>
      </c>
      <c r="B61" t="s">
        <v>156</v>
      </c>
      <c r="C61" t="s">
        <v>56</v>
      </c>
      <c r="D61" t="s">
        <v>11</v>
      </c>
      <c r="E61" t="s">
        <v>121</v>
      </c>
      <c r="F61" t="s">
        <v>83</v>
      </c>
      <c r="G61" t="s">
        <v>75</v>
      </c>
    </row>
    <row r="62" spans="1:7" x14ac:dyDescent="0.3">
      <c r="A62">
        <v>30446</v>
      </c>
      <c r="B62" t="s">
        <v>163</v>
      </c>
      <c r="C62" t="s">
        <v>56</v>
      </c>
      <c r="D62" t="s">
        <v>11</v>
      </c>
      <c r="E62" t="s">
        <v>121</v>
      </c>
      <c r="F62" t="s">
        <v>83</v>
      </c>
      <c r="G62" t="s">
        <v>75</v>
      </c>
    </row>
    <row r="63" spans="1:7" x14ac:dyDescent="0.3">
      <c r="A63">
        <v>30570</v>
      </c>
      <c r="B63" t="s">
        <v>147</v>
      </c>
      <c r="C63" t="s">
        <v>56</v>
      </c>
      <c r="D63" t="s">
        <v>10</v>
      </c>
      <c r="E63" t="s">
        <v>175</v>
      </c>
      <c r="G63" t="s">
        <v>75</v>
      </c>
    </row>
    <row r="64" spans="1:7" x14ac:dyDescent="0.3">
      <c r="A64">
        <v>31062</v>
      </c>
      <c r="B64" t="s">
        <v>178</v>
      </c>
      <c r="C64" t="s">
        <v>56</v>
      </c>
      <c r="D64" t="s">
        <v>10</v>
      </c>
      <c r="E64" t="s">
        <v>179</v>
      </c>
      <c r="G64" t="s">
        <v>75</v>
      </c>
    </row>
    <row r="65" spans="1:7" x14ac:dyDescent="0.3">
      <c r="A65">
        <v>30606</v>
      </c>
      <c r="B65" t="s">
        <v>196</v>
      </c>
      <c r="C65" t="s">
        <v>56</v>
      </c>
      <c r="D65" t="s">
        <v>10</v>
      </c>
      <c r="E65" t="s">
        <v>195</v>
      </c>
      <c r="F65" t="s">
        <v>174</v>
      </c>
      <c r="G65" t="s">
        <v>75</v>
      </c>
    </row>
    <row r="66" spans="1:7" x14ac:dyDescent="0.3">
      <c r="A66">
        <v>31102</v>
      </c>
      <c r="B66" t="s">
        <v>82</v>
      </c>
      <c r="C66" t="s">
        <v>57</v>
      </c>
      <c r="D66" t="s">
        <v>11</v>
      </c>
      <c r="E66" t="s">
        <v>77</v>
      </c>
      <c r="F66" t="s">
        <v>83</v>
      </c>
      <c r="G66" t="s">
        <v>75</v>
      </c>
    </row>
    <row r="67" spans="1:7" x14ac:dyDescent="0.3">
      <c r="A67">
        <v>30422</v>
      </c>
      <c r="B67" t="s">
        <v>111</v>
      </c>
      <c r="C67" t="s">
        <v>57</v>
      </c>
      <c r="D67" t="s">
        <v>109</v>
      </c>
      <c r="E67" t="s">
        <v>90</v>
      </c>
      <c r="G67" t="s">
        <v>92</v>
      </c>
    </row>
    <row r="68" spans="1:7" x14ac:dyDescent="0.3">
      <c r="A68">
        <v>30467</v>
      </c>
      <c r="B68" t="s">
        <v>145</v>
      </c>
      <c r="C68" t="s">
        <v>57</v>
      </c>
      <c r="D68" t="s">
        <v>11</v>
      </c>
      <c r="E68" t="s">
        <v>121</v>
      </c>
      <c r="F68" t="s">
        <v>83</v>
      </c>
      <c r="G68" t="s">
        <v>75</v>
      </c>
    </row>
    <row r="69" spans="1:7" x14ac:dyDescent="0.3">
      <c r="A69">
        <v>31102</v>
      </c>
      <c r="B69" t="s">
        <v>82</v>
      </c>
      <c r="C69" t="s">
        <v>57</v>
      </c>
      <c r="D69" t="s">
        <v>11</v>
      </c>
      <c r="E69" t="s">
        <v>121</v>
      </c>
      <c r="F69" t="s">
        <v>83</v>
      </c>
      <c r="G69" t="s">
        <v>75</v>
      </c>
    </row>
    <row r="70" spans="1:7" x14ac:dyDescent="0.3">
      <c r="A70">
        <v>30654</v>
      </c>
      <c r="B70" t="s">
        <v>158</v>
      </c>
      <c r="C70" t="s">
        <v>57</v>
      </c>
      <c r="D70" t="s">
        <v>11</v>
      </c>
      <c r="E70" t="s">
        <v>121</v>
      </c>
      <c r="F70" t="s">
        <v>83</v>
      </c>
      <c r="G70" t="s">
        <v>75</v>
      </c>
    </row>
    <row r="71" spans="1:7" x14ac:dyDescent="0.3">
      <c r="A71">
        <v>30571</v>
      </c>
      <c r="B71" t="s">
        <v>160</v>
      </c>
      <c r="C71" t="s">
        <v>57</v>
      </c>
      <c r="D71" t="s">
        <v>11</v>
      </c>
      <c r="E71" t="s">
        <v>121</v>
      </c>
      <c r="F71" t="s">
        <v>83</v>
      </c>
      <c r="G71" t="s">
        <v>75</v>
      </c>
    </row>
    <row r="72" spans="1:7" x14ac:dyDescent="0.3">
      <c r="A72">
        <v>30571</v>
      </c>
      <c r="B72" t="s">
        <v>160</v>
      </c>
      <c r="C72" t="s">
        <v>57</v>
      </c>
      <c r="D72" t="s">
        <v>10</v>
      </c>
      <c r="E72" t="s">
        <v>187</v>
      </c>
      <c r="F72" t="s">
        <v>174</v>
      </c>
      <c r="G72" t="s">
        <v>75</v>
      </c>
    </row>
    <row r="73" spans="1:7" x14ac:dyDescent="0.3">
      <c r="A73">
        <v>30623</v>
      </c>
      <c r="B73" t="s">
        <v>188</v>
      </c>
      <c r="C73" t="s">
        <v>58</v>
      </c>
      <c r="D73" t="s">
        <v>10</v>
      </c>
      <c r="E73" t="s">
        <v>187</v>
      </c>
      <c r="F73" t="s">
        <v>174</v>
      </c>
      <c r="G73" t="s">
        <v>75</v>
      </c>
    </row>
    <row r="74" spans="1:7" x14ac:dyDescent="0.3">
      <c r="A74">
        <v>20806</v>
      </c>
      <c r="B74" t="s">
        <v>164</v>
      </c>
      <c r="C74" t="s">
        <v>18</v>
      </c>
      <c r="D74" t="s">
        <v>10</v>
      </c>
      <c r="E74" t="s">
        <v>165</v>
      </c>
      <c r="F74" t="s">
        <v>166</v>
      </c>
      <c r="G74" t="s">
        <v>75</v>
      </c>
    </row>
    <row r="75" spans="1:7" x14ac:dyDescent="0.3">
      <c r="A75">
        <v>20744</v>
      </c>
      <c r="B75" t="s">
        <v>170</v>
      </c>
      <c r="C75" t="s">
        <v>22</v>
      </c>
      <c r="D75" t="s">
        <v>10</v>
      </c>
      <c r="E75" t="s">
        <v>171</v>
      </c>
      <c r="G75" t="s">
        <v>75</v>
      </c>
    </row>
    <row r="76" spans="1:7" x14ac:dyDescent="0.3">
      <c r="A76">
        <v>20716</v>
      </c>
      <c r="B76" t="s">
        <v>172</v>
      </c>
      <c r="C76" t="s">
        <v>22</v>
      </c>
      <c r="D76" t="s">
        <v>10</v>
      </c>
      <c r="E76" t="s">
        <v>173</v>
      </c>
      <c r="F76" t="s">
        <v>174</v>
      </c>
      <c r="G76" t="s">
        <v>75</v>
      </c>
    </row>
    <row r="77" spans="1:7" x14ac:dyDescent="0.3">
      <c r="A77">
        <v>20357</v>
      </c>
      <c r="B77" t="s">
        <v>167</v>
      </c>
      <c r="C77" t="s">
        <v>23</v>
      </c>
      <c r="D77" t="s">
        <v>10</v>
      </c>
      <c r="E77" t="s">
        <v>168</v>
      </c>
      <c r="F77" t="s">
        <v>169</v>
      </c>
      <c r="G77" t="s">
        <v>75</v>
      </c>
    </row>
    <row r="78" spans="1:7" x14ac:dyDescent="0.3">
      <c r="A78">
        <v>20449</v>
      </c>
      <c r="B78" t="s">
        <v>100</v>
      </c>
      <c r="C78" t="s">
        <v>25</v>
      </c>
      <c r="D78" t="s">
        <v>11</v>
      </c>
      <c r="E78" t="s">
        <v>77</v>
      </c>
      <c r="F78" t="s">
        <v>83</v>
      </c>
      <c r="G78" t="s">
        <v>75</v>
      </c>
    </row>
    <row r="79" spans="1:7" x14ac:dyDescent="0.3">
      <c r="A79">
        <v>20362</v>
      </c>
      <c r="B79" t="s">
        <v>108</v>
      </c>
      <c r="C79" t="s">
        <v>28</v>
      </c>
      <c r="D79" t="s">
        <v>109</v>
      </c>
      <c r="G79" t="s">
        <v>92</v>
      </c>
    </row>
    <row r="80" spans="1:7" x14ac:dyDescent="0.3">
      <c r="A80">
        <v>20552</v>
      </c>
      <c r="B80" t="s">
        <v>110</v>
      </c>
      <c r="C80" t="s">
        <v>28</v>
      </c>
      <c r="D80" t="s">
        <v>109</v>
      </c>
      <c r="G80" t="s">
        <v>92</v>
      </c>
    </row>
    <row r="81" spans="1:7" x14ac:dyDescent="0.3">
      <c r="A81">
        <v>20485</v>
      </c>
      <c r="B81" t="s">
        <v>120</v>
      </c>
      <c r="C81" t="s">
        <v>29</v>
      </c>
      <c r="D81" t="s">
        <v>11</v>
      </c>
      <c r="E81" t="s">
        <v>121</v>
      </c>
      <c r="F81" t="s">
        <v>83</v>
      </c>
      <c r="G81" t="s">
        <v>75</v>
      </c>
    </row>
    <row r="82" spans="1:7" x14ac:dyDescent="0.3">
      <c r="A82">
        <v>20728</v>
      </c>
      <c r="B82" t="s">
        <v>197</v>
      </c>
      <c r="C82" t="s">
        <v>65</v>
      </c>
      <c r="D82" t="s">
        <v>198</v>
      </c>
      <c r="E82" t="s">
        <v>86</v>
      </c>
      <c r="F82" t="s">
        <v>199</v>
      </c>
      <c r="G82" t="s">
        <v>75</v>
      </c>
    </row>
    <row r="83" spans="1:7" x14ac:dyDescent="0.3">
      <c r="A83">
        <v>20030</v>
      </c>
      <c r="B83" t="s">
        <v>106</v>
      </c>
      <c r="C83" t="s">
        <v>30</v>
      </c>
      <c r="D83" t="s">
        <v>11</v>
      </c>
      <c r="E83" t="s">
        <v>105</v>
      </c>
      <c r="F83" t="s">
        <v>83</v>
      </c>
      <c r="G83" t="s">
        <v>75</v>
      </c>
    </row>
    <row r="84" spans="1:7" x14ac:dyDescent="0.3">
      <c r="A84">
        <v>20259</v>
      </c>
      <c r="B84" t="s">
        <v>103</v>
      </c>
      <c r="C84" t="s">
        <v>31</v>
      </c>
      <c r="D84" t="s">
        <v>11</v>
      </c>
      <c r="E84" t="s">
        <v>102</v>
      </c>
      <c r="F84" t="s">
        <v>83</v>
      </c>
      <c r="G84" t="s">
        <v>75</v>
      </c>
    </row>
    <row r="85" spans="1:7" x14ac:dyDescent="0.3">
      <c r="A85">
        <v>20107</v>
      </c>
      <c r="B85" t="s">
        <v>104</v>
      </c>
      <c r="C85" t="s">
        <v>31</v>
      </c>
      <c r="D85" t="s">
        <v>11</v>
      </c>
      <c r="E85" t="s">
        <v>105</v>
      </c>
      <c r="F85" t="s">
        <v>83</v>
      </c>
      <c r="G85" t="s">
        <v>75</v>
      </c>
    </row>
    <row r="86" spans="1:7" x14ac:dyDescent="0.3">
      <c r="A86">
        <v>20218</v>
      </c>
      <c r="B86" t="s">
        <v>107</v>
      </c>
      <c r="C86" t="s">
        <v>31</v>
      </c>
      <c r="D86" t="s">
        <v>11</v>
      </c>
      <c r="E86" t="s">
        <v>105</v>
      </c>
      <c r="F86" t="s">
        <v>83</v>
      </c>
      <c r="G86" t="s">
        <v>75</v>
      </c>
    </row>
    <row r="87" spans="1:7" x14ac:dyDescent="0.3">
      <c r="A87">
        <v>20066</v>
      </c>
      <c r="B87" t="s">
        <v>88</v>
      </c>
      <c r="C87" t="s">
        <v>32</v>
      </c>
      <c r="D87" t="s">
        <v>89</v>
      </c>
      <c r="E87" t="s">
        <v>90</v>
      </c>
      <c r="F87" t="s">
        <v>91</v>
      </c>
      <c r="G87" t="s">
        <v>92</v>
      </c>
    </row>
    <row r="88" spans="1:7" x14ac:dyDescent="0.3">
      <c r="A88">
        <v>20529</v>
      </c>
      <c r="B88" t="s">
        <v>93</v>
      </c>
      <c r="C88" t="s">
        <v>32</v>
      </c>
      <c r="D88" t="s">
        <v>89</v>
      </c>
      <c r="E88" t="s">
        <v>90</v>
      </c>
      <c r="F88" t="s">
        <v>91</v>
      </c>
      <c r="G88" t="s">
        <v>92</v>
      </c>
    </row>
    <row r="89" spans="1:7" x14ac:dyDescent="0.3">
      <c r="A89">
        <v>20038</v>
      </c>
      <c r="B89" t="s">
        <v>94</v>
      </c>
      <c r="C89" t="s">
        <v>32</v>
      </c>
      <c r="D89" t="s">
        <v>89</v>
      </c>
      <c r="E89" t="s">
        <v>90</v>
      </c>
      <c r="F89" t="s">
        <v>91</v>
      </c>
      <c r="G89" t="s">
        <v>92</v>
      </c>
    </row>
    <row r="90" spans="1:7" x14ac:dyDescent="0.3">
      <c r="A90">
        <v>20118</v>
      </c>
      <c r="B90" t="s">
        <v>101</v>
      </c>
      <c r="C90" t="s">
        <v>32</v>
      </c>
      <c r="D90" t="s">
        <v>11</v>
      </c>
      <c r="E90" t="s">
        <v>102</v>
      </c>
      <c r="F90" t="s">
        <v>11</v>
      </c>
      <c r="G90" t="s">
        <v>75</v>
      </c>
    </row>
    <row r="91" spans="1:7" x14ac:dyDescent="0.3">
      <c r="A91">
        <v>20270</v>
      </c>
      <c r="B91" t="s">
        <v>122</v>
      </c>
      <c r="C91" t="s">
        <v>32</v>
      </c>
      <c r="D91" t="s">
        <v>89</v>
      </c>
      <c r="E91" t="s">
        <v>90</v>
      </c>
      <c r="F91" t="s">
        <v>123</v>
      </c>
      <c r="G91" t="s">
        <v>92</v>
      </c>
    </row>
    <row r="92" spans="1:7" x14ac:dyDescent="0.3">
      <c r="A92">
        <v>20118</v>
      </c>
      <c r="B92" t="s">
        <v>101</v>
      </c>
      <c r="C92" t="s">
        <v>32</v>
      </c>
      <c r="D92" t="s">
        <v>89</v>
      </c>
      <c r="E92" t="s">
        <v>90</v>
      </c>
      <c r="G92" t="s">
        <v>92</v>
      </c>
    </row>
    <row r="93" spans="1:7" x14ac:dyDescent="0.3">
      <c r="A93">
        <v>20038</v>
      </c>
      <c r="B93" t="s">
        <v>94</v>
      </c>
      <c r="C93" t="s">
        <v>32</v>
      </c>
      <c r="D93" t="s">
        <v>11</v>
      </c>
      <c r="E93" t="s">
        <v>126</v>
      </c>
      <c r="F93" t="s">
        <v>200</v>
      </c>
      <c r="G93" t="s">
        <v>75</v>
      </c>
    </row>
    <row r="94" spans="1:7" x14ac:dyDescent="0.3">
      <c r="A94">
        <v>20270</v>
      </c>
      <c r="B94" t="s">
        <v>122</v>
      </c>
      <c r="C94" t="s">
        <v>32</v>
      </c>
      <c r="D94" t="s">
        <v>11</v>
      </c>
      <c r="E94" t="s">
        <v>126</v>
      </c>
      <c r="F94" t="s">
        <v>200</v>
      </c>
      <c r="G94" t="s">
        <v>75</v>
      </c>
    </row>
    <row r="95" spans="1:7" x14ac:dyDescent="0.3">
      <c r="A95">
        <v>20083</v>
      </c>
      <c r="B95" t="s">
        <v>127</v>
      </c>
      <c r="C95" t="s">
        <v>32</v>
      </c>
      <c r="D95" t="s">
        <v>11</v>
      </c>
      <c r="E95" t="s">
        <v>121</v>
      </c>
      <c r="F95" t="s">
        <v>200</v>
      </c>
      <c r="G95" t="s">
        <v>75</v>
      </c>
    </row>
    <row r="96" spans="1:7" x14ac:dyDescent="0.3">
      <c r="A96">
        <v>20217</v>
      </c>
      <c r="B96" t="s">
        <v>124</v>
      </c>
      <c r="C96" t="s">
        <v>66</v>
      </c>
      <c r="D96" t="s">
        <v>109</v>
      </c>
      <c r="E96" t="s">
        <v>90</v>
      </c>
      <c r="F96" t="s">
        <v>125</v>
      </c>
      <c r="G96" t="s">
        <v>92</v>
      </c>
    </row>
  </sheetData>
  <autoFilter ref="C1:C99" xr:uid="{DA01E883-1F1B-45E0-9796-E04A84ED7AED}">
    <sortState xmlns:xlrd2="http://schemas.microsoft.com/office/spreadsheetml/2017/richdata2" ref="A2:G99">
      <sortCondition ref="C1:C9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Tổng Hợp</vt:lpstr>
      <vt:lpstr>Chi Tiết</vt:lpstr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Hà Duy</cp:lastModifiedBy>
  <dcterms:created xsi:type="dcterms:W3CDTF">2024-09-19T06:50:14Z</dcterms:created>
  <dcterms:modified xsi:type="dcterms:W3CDTF">2025-11-01T03:58:27Z</dcterms:modified>
</cp:coreProperties>
</file>